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E:\j\DA\projects\data\"/>
    </mc:Choice>
  </mc:AlternateContent>
  <bookViews>
    <workbookView xWindow="0" yWindow="0" windowWidth="20490" windowHeight="7755"/>
  </bookViews>
  <sheets>
    <sheet name="Dashboard" sheetId="4" r:id="rId1"/>
    <sheet name="Summery" sheetId="2" r:id="rId2"/>
    <sheet name="sales_project_dataset" sheetId="1" r:id="rId3"/>
  </sheets>
  <definedNames>
    <definedName name="NativeTimeline_Order_Date">#N/A</definedName>
    <definedName name="Slicer_Product">#N/A</definedName>
    <definedName name="Slicer_Region">#N/A</definedName>
  </definedNames>
  <calcPr calcId="0"/>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B3" i="2" l="1"/>
  <c r="B2" i="2"/>
  <c r="B1" i="2"/>
</calcChain>
</file>

<file path=xl/sharedStrings.xml><?xml version="1.0" encoding="utf-8"?>
<sst xmlns="http://schemas.openxmlformats.org/spreadsheetml/2006/main" count="1157" uniqueCount="330">
  <si>
    <t>Order_ID</t>
  </si>
  <si>
    <t>Order_Date</t>
  </si>
  <si>
    <t>Customer_ID</t>
  </si>
  <si>
    <t>Product</t>
  </si>
  <si>
    <t>Region</t>
  </si>
  <si>
    <t>Quantity</t>
  </si>
  <si>
    <t>Unit_Price</t>
  </si>
  <si>
    <t>Total_Amount</t>
  </si>
  <si>
    <t>ORD1000</t>
  </si>
  <si>
    <t>CUST088</t>
  </si>
  <si>
    <t>Monitor</t>
  </si>
  <si>
    <t>North</t>
  </si>
  <si>
    <t>ORD1001</t>
  </si>
  <si>
    <t>CUST094</t>
  </si>
  <si>
    <t>Laptop</t>
  </si>
  <si>
    <t>West</t>
  </si>
  <si>
    <t>ORD1002</t>
  </si>
  <si>
    <t>CUST099</t>
  </si>
  <si>
    <t>Mouse</t>
  </si>
  <si>
    <t>South</t>
  </si>
  <si>
    <t>ORD1003</t>
  </si>
  <si>
    <t>CUST001</t>
  </si>
  <si>
    <t>ORD1004</t>
  </si>
  <si>
    <t>CUST078</t>
  </si>
  <si>
    <t>Mobile</t>
  </si>
  <si>
    <t>ORD1005</t>
  </si>
  <si>
    <t>CUST055</t>
  </si>
  <si>
    <t>Headphones</t>
  </si>
  <si>
    <t>ORD1006</t>
  </si>
  <si>
    <t>ORD1007</t>
  </si>
  <si>
    <t>CUST027</t>
  </si>
  <si>
    <t>ORD1008</t>
  </si>
  <si>
    <t>CUST062</t>
  </si>
  <si>
    <t>ORD1009</t>
  </si>
  <si>
    <t>CUST075</t>
  </si>
  <si>
    <t>ORD1010</t>
  </si>
  <si>
    <t>CUST031</t>
  </si>
  <si>
    <t>ORD1011</t>
  </si>
  <si>
    <t>CUST028</t>
  </si>
  <si>
    <t>ORD1012</t>
  </si>
  <si>
    <t>CUST081</t>
  </si>
  <si>
    <t>Keyboard</t>
  </si>
  <si>
    <t>ORD1013</t>
  </si>
  <si>
    <t>CUST043</t>
  </si>
  <si>
    <t>East</t>
  </si>
  <si>
    <t>ORD1014</t>
  </si>
  <si>
    <t>CUST059</t>
  </si>
  <si>
    <t>ORD1015</t>
  </si>
  <si>
    <t>CUST012</t>
  </si>
  <si>
    <t>ORD1016</t>
  </si>
  <si>
    <t>CUST086</t>
  </si>
  <si>
    <t>ORD1017</t>
  </si>
  <si>
    <t>CUST023</t>
  </si>
  <si>
    <t>ORD1018</t>
  </si>
  <si>
    <t>ORD1019</t>
  </si>
  <si>
    <t>CUST015</t>
  </si>
  <si>
    <t>ORD1020</t>
  </si>
  <si>
    <t>ORD1021</t>
  </si>
  <si>
    <t>CUST070</t>
  </si>
  <si>
    <t>Smartwatch</t>
  </si>
  <si>
    <t>ORD1022</t>
  </si>
  <si>
    <t>CUST057</t>
  </si>
  <si>
    <t>ORD1023</t>
  </si>
  <si>
    <t>CUST076</t>
  </si>
  <si>
    <t>ORD1024</t>
  </si>
  <si>
    <t>ORD1025</t>
  </si>
  <si>
    <t>CUST052</t>
  </si>
  <si>
    <t>ORD1026</t>
  </si>
  <si>
    <t>CUST006</t>
  </si>
  <si>
    <t>ORD1027</t>
  </si>
  <si>
    <t>CUST044</t>
  </si>
  <si>
    <t>ORD1028</t>
  </si>
  <si>
    <t>CUST018</t>
  </si>
  <si>
    <t>ORD1029</t>
  </si>
  <si>
    <t>ORD1030</t>
  </si>
  <si>
    <t>ORD1031</t>
  </si>
  <si>
    <t>CUST033</t>
  </si>
  <si>
    <t>ORD1032</t>
  </si>
  <si>
    <t>ORD1033</t>
  </si>
  <si>
    <t>ORD1034</t>
  </si>
  <si>
    <t>CUST071</t>
  </si>
  <si>
    <t>ORD1035</t>
  </si>
  <si>
    <t>ORD1036</t>
  </si>
  <si>
    <t>CUST034</t>
  </si>
  <si>
    <t>ORD1037</t>
  </si>
  <si>
    <t>ORD1038</t>
  </si>
  <si>
    <t>CUST060</t>
  </si>
  <si>
    <t>ORD1039</t>
  </si>
  <si>
    <t>CUST009</t>
  </si>
  <si>
    <t>ORD1040</t>
  </si>
  <si>
    <t>CUST008</t>
  </si>
  <si>
    <t>ORD1041</t>
  </si>
  <si>
    <t>CUST005</t>
  </si>
  <si>
    <t>ORD1042</t>
  </si>
  <si>
    <t>ORD1043</t>
  </si>
  <si>
    <t>CUST002</t>
  </si>
  <si>
    <t>ORD1044</t>
  </si>
  <si>
    <t>ORD1045</t>
  </si>
  <si>
    <t>CUST022</t>
  </si>
  <si>
    <t>ORD1046</t>
  </si>
  <si>
    <t>CUST093</t>
  </si>
  <si>
    <t>ORD1047</t>
  </si>
  <si>
    <t>CUST066</t>
  </si>
  <si>
    <t>ORD1048</t>
  </si>
  <si>
    <t>CUST040</t>
  </si>
  <si>
    <t>ORD1049</t>
  </si>
  <si>
    <t>ORD1050</t>
  </si>
  <si>
    <t>ORD1051</t>
  </si>
  <si>
    <t>CUST083</t>
  </si>
  <si>
    <t>ORD1052</t>
  </si>
  <si>
    <t>CUST087</t>
  </si>
  <si>
    <t>ORD1053</t>
  </si>
  <si>
    <t>CUST065</t>
  </si>
  <si>
    <t>ORD1054</t>
  </si>
  <si>
    <t>CUST029</t>
  </si>
  <si>
    <t>ORD1055</t>
  </si>
  <si>
    <t>ORD1056</t>
  </si>
  <si>
    <t>CUST072</t>
  </si>
  <si>
    <t>ORD1057</t>
  </si>
  <si>
    <t>ORD1058</t>
  </si>
  <si>
    <t>ORD1059</t>
  </si>
  <si>
    <t>CUST067</t>
  </si>
  <si>
    <t>ORD1060</t>
  </si>
  <si>
    <t>CUST063</t>
  </si>
  <si>
    <t>ORD1061</t>
  </si>
  <si>
    <t>CUST079</t>
  </si>
  <si>
    <t>ORD1062</t>
  </si>
  <si>
    <t>CUST011</t>
  </si>
  <si>
    <t>ORD1063</t>
  </si>
  <si>
    <t>ORD1064</t>
  </si>
  <si>
    <t>CUST003</t>
  </si>
  <si>
    <t>ORD1065</t>
  </si>
  <si>
    <t>CUST084</t>
  </si>
  <si>
    <t>ORD1066</t>
  </si>
  <si>
    <t>ORD1067</t>
  </si>
  <si>
    <t>CUST020</t>
  </si>
  <si>
    <t>ORD1068</t>
  </si>
  <si>
    <t>CUST046</t>
  </si>
  <si>
    <t>ORD1069</t>
  </si>
  <si>
    <t>ORD1070</t>
  </si>
  <si>
    <t>CUST053</t>
  </si>
  <si>
    <t>ORD1071</t>
  </si>
  <si>
    <t>ORD1072</t>
  </si>
  <si>
    <t>CUST036</t>
  </si>
  <si>
    <t>ORD1073</t>
  </si>
  <si>
    <t>CUST024</t>
  </si>
  <si>
    <t>ORD1074</t>
  </si>
  <si>
    <t>CUST098</t>
  </si>
  <si>
    <t>ORD1075</t>
  </si>
  <si>
    <t>ORD1076</t>
  </si>
  <si>
    <t>CUST037</t>
  </si>
  <si>
    <t>ORD1077</t>
  </si>
  <si>
    <t>CUST030</t>
  </si>
  <si>
    <t>ORD1078</t>
  </si>
  <si>
    <t>ORD1079</t>
  </si>
  <si>
    <t>CUST085</t>
  </si>
  <si>
    <t>ORD1080</t>
  </si>
  <si>
    <t>ORD1081</t>
  </si>
  <si>
    <t>ORD1082</t>
  </si>
  <si>
    <t>CUST054</t>
  </si>
  <si>
    <t>ORD1083</t>
  </si>
  <si>
    <t>ORD1084</t>
  </si>
  <si>
    <t>CUST048</t>
  </si>
  <si>
    <t>ORD1085</t>
  </si>
  <si>
    <t>ORD1086</t>
  </si>
  <si>
    <t>ORD1087</t>
  </si>
  <si>
    <t>ORD1088</t>
  </si>
  <si>
    <t>ORD1089</t>
  </si>
  <si>
    <t>CUST080</t>
  </si>
  <si>
    <t>ORD1090</t>
  </si>
  <si>
    <t>ORD1091</t>
  </si>
  <si>
    <t>ORD1092</t>
  </si>
  <si>
    <t>ORD1093</t>
  </si>
  <si>
    <t>CUST042</t>
  </si>
  <si>
    <t>ORD1094</t>
  </si>
  <si>
    <t>ORD1095</t>
  </si>
  <si>
    <t>ORD1096</t>
  </si>
  <si>
    <t>ORD1097</t>
  </si>
  <si>
    <t>CUST007</t>
  </si>
  <si>
    <t>ORD1098</t>
  </si>
  <si>
    <t>ORD1099</t>
  </si>
  <si>
    <t>ORD1100</t>
  </si>
  <si>
    <t>CUST077</t>
  </si>
  <si>
    <t>ORD1101</t>
  </si>
  <si>
    <t>CUST049</t>
  </si>
  <si>
    <t>ORD1102</t>
  </si>
  <si>
    <t>ORD1103</t>
  </si>
  <si>
    <t>ORD1104</t>
  </si>
  <si>
    <t>CUST038</t>
  </si>
  <si>
    <t>ORD1105</t>
  </si>
  <si>
    <t>ORD1106</t>
  </si>
  <si>
    <t>ORD1107</t>
  </si>
  <si>
    <t>CUST017</t>
  </si>
  <si>
    <t>ORD1108</t>
  </si>
  <si>
    <t>ORD1109</t>
  </si>
  <si>
    <t>ORD1110</t>
  </si>
  <si>
    <t>ORD1111</t>
  </si>
  <si>
    <t>CUST096</t>
  </si>
  <si>
    <t>ORD1112</t>
  </si>
  <si>
    <t>ORD1113</t>
  </si>
  <si>
    <t>CUST039</t>
  </si>
  <si>
    <t>ORD1114</t>
  </si>
  <si>
    <t>ORD1115</t>
  </si>
  <si>
    <t>ORD1116</t>
  </si>
  <si>
    <t>ORD1117</t>
  </si>
  <si>
    <t>CUST016</t>
  </si>
  <si>
    <t>ORD1118</t>
  </si>
  <si>
    <t>ORD1119</t>
  </si>
  <si>
    <t>ORD1120</t>
  </si>
  <si>
    <t>CUST056</t>
  </si>
  <si>
    <t>ORD1121</t>
  </si>
  <si>
    <t>ORD1122</t>
  </si>
  <si>
    <t>ORD1123</t>
  </si>
  <si>
    <t>CUST058</t>
  </si>
  <si>
    <t>ORD1124</t>
  </si>
  <si>
    <t>ORD1125</t>
  </si>
  <si>
    <t>ORD1126</t>
  </si>
  <si>
    <t>ORD1127</t>
  </si>
  <si>
    <t>ORD1128</t>
  </si>
  <si>
    <t>ORD1129</t>
  </si>
  <si>
    <t>ORD1130</t>
  </si>
  <si>
    <t>CUST090</t>
  </si>
  <si>
    <t>ORD1131</t>
  </si>
  <si>
    <t>ORD1132</t>
  </si>
  <si>
    <t>ORD1133</t>
  </si>
  <si>
    <t>CUST095</t>
  </si>
  <si>
    <t>ORD1134</t>
  </si>
  <si>
    <t>ORD1135</t>
  </si>
  <si>
    <t>ORD1136</t>
  </si>
  <si>
    <t>CUST013</t>
  </si>
  <si>
    <t>ORD1137</t>
  </si>
  <si>
    <t>ORD1138</t>
  </si>
  <si>
    <t>ORD1139</t>
  </si>
  <si>
    <t>CUST045</t>
  </si>
  <si>
    <t>ORD1140</t>
  </si>
  <si>
    <t>ORD1141</t>
  </si>
  <si>
    <t>ORD1142</t>
  </si>
  <si>
    <t>ORD1143</t>
  </si>
  <si>
    <t>CUST051</t>
  </si>
  <si>
    <t>ORD1144</t>
  </si>
  <si>
    <t>CUST097</t>
  </si>
  <si>
    <t>ORD1145</t>
  </si>
  <si>
    <t>ORD1146</t>
  </si>
  <si>
    <t>ORD1147</t>
  </si>
  <si>
    <t>ORD1148</t>
  </si>
  <si>
    <t>ORD1149</t>
  </si>
  <si>
    <t>ORD1150</t>
  </si>
  <si>
    <t>ORD1151</t>
  </si>
  <si>
    <t>CUST089</t>
  </si>
  <si>
    <t>ORD1152</t>
  </si>
  <si>
    <t>ORD1153</t>
  </si>
  <si>
    <t>CUST019</t>
  </si>
  <si>
    <t>ORD1154</t>
  </si>
  <si>
    <t>ORD1155</t>
  </si>
  <si>
    <t>ORD1156</t>
  </si>
  <si>
    <t>CUST035</t>
  </si>
  <si>
    <t>ORD1157</t>
  </si>
  <si>
    <t>ORD1158</t>
  </si>
  <si>
    <t>ORD1159</t>
  </si>
  <si>
    <t>CUST004</t>
  </si>
  <si>
    <t>ORD1160</t>
  </si>
  <si>
    <t>ORD1161</t>
  </si>
  <si>
    <t>CUST074</t>
  </si>
  <si>
    <t>ORD1162</t>
  </si>
  <si>
    <t>ORD1163</t>
  </si>
  <si>
    <t>ORD1164</t>
  </si>
  <si>
    <t>CUST041</t>
  </si>
  <si>
    <t>ORD1165</t>
  </si>
  <si>
    <t>CUST026</t>
  </si>
  <si>
    <t>ORD1166</t>
  </si>
  <si>
    <t>CUST100</t>
  </si>
  <si>
    <t>ORD1167</t>
  </si>
  <si>
    <t>CUST014</t>
  </si>
  <si>
    <t>ORD1168</t>
  </si>
  <si>
    <t>ORD1169</t>
  </si>
  <si>
    <t>CUST092</t>
  </si>
  <si>
    <t>ORD1170</t>
  </si>
  <si>
    <t>ORD1171</t>
  </si>
  <si>
    <t>ORD1172</t>
  </si>
  <si>
    <t>CUST021</t>
  </si>
  <si>
    <t>ORD1173</t>
  </si>
  <si>
    <t>CUST025</t>
  </si>
  <si>
    <t>ORD1174</t>
  </si>
  <si>
    <t>ORD1175</t>
  </si>
  <si>
    <t>CUST061</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</si>
  <si>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</si>
  <si>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</si>
  <si>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</si>
  <si>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</si>
  <si>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</si>
  <si>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</si>
  <si>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</si>
  <si>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</si>
  <si>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</si>
  <si>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</si>
  <si>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</si>
  <si>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</si>
  <si>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</si>
  <si>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</si>
  <si>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</si>
  <si>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</si>
  <si>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</si>
  <si>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</si>
  <si>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</si>
  <si>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</si>
  <si>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</si>
  <si>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</si>
  <si>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</si>
  <si>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CUST082</t>
  </si>
  <si>
    <t>ORD1199</t>
  </si>
  <si>
    <t>Row Labels</t>
  </si>
  <si>
    <t>Grand Total</t>
  </si>
  <si>
    <t>Total_Unit_Price</t>
  </si>
  <si>
    <t>Total Amount</t>
  </si>
  <si>
    <t>2023</t>
  </si>
  <si>
    <t>Jan</t>
  </si>
  <si>
    <t>Feb</t>
  </si>
  <si>
    <t>Mar</t>
  </si>
  <si>
    <t>Apr</t>
  </si>
  <si>
    <t>May</t>
  </si>
  <si>
    <t>Jun</t>
  </si>
  <si>
    <t>Jul</t>
  </si>
  <si>
    <t>Aug</t>
  </si>
  <si>
    <t>Sep</t>
  </si>
  <si>
    <t>Oct</t>
  </si>
  <si>
    <t>Nov</t>
  </si>
  <si>
    <t>Dec</t>
  </si>
  <si>
    <t>2024</t>
  </si>
  <si>
    <t>SALES DASHBOARD</t>
  </si>
  <si>
    <t>No._Quantity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</si>
</sst>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 #,##0.00"/>
    <numFmt numFmtId="166" formatCode="&quot;₹&quot;\ #,##0"/>
    <numFmt numFmtId="169" formatCode="_ [$₹-4009]\ * #,##0_ ;_ [$₹-4009]\ * \-#,##0_ ;_ [$₹-4009]\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166" fontId="0" fillId="0" borderId="0" xfId="0" applyNumberFormat="1"/>
    <xf numFmtId="0" fontId="0" fillId="0" borderId="12" xfId="0" applyBorder="1" applyAlignment="1">
      <alignment horizontal="center" vertical="center"/>
    </xf>
    <xf numFmtId="0" fontId="0" fillId="0" borderId="13" xfId="0"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0" fillId="0" borderId="20" xfId="0" applyBorder="1" applyAlignment="1">
      <alignment horizontal="center" vertical="center"/>
    </xf>
    <xf numFmtId="14" fontId="0" fillId="0" borderId="21" xfId="0" applyNumberFormat="1" applyBorder="1" applyAlignment="1">
      <alignment horizontal="center" vertical="center"/>
    </xf>
    <xf numFmtId="0" fontId="0" fillId="0" borderId="21" xfId="0" applyBorder="1" applyAlignment="1">
      <alignment horizontal="center" vertical="center"/>
    </xf>
    <xf numFmtId="164" fontId="16" fillId="0" borderId="19" xfId="0" applyNumberFormat="1" applyFont="1" applyBorder="1" applyAlignment="1">
      <alignment horizontal="center" vertical="center"/>
    </xf>
    <xf numFmtId="164" fontId="16" fillId="0" borderId="16" xfId="0" applyNumberFormat="1" applyFont="1" applyBorder="1" applyAlignment="1">
      <alignment horizontal="center" vertical="center"/>
    </xf>
    <xf numFmtId="164" fontId="0" fillId="0" borderId="11"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5"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0" xfId="0" applyNumberFormat="1" applyAlignment="1">
      <alignment horizontal="center" vertical="center"/>
    </xf>
    <xf numFmtId="0" fontId="18" fillId="33" borderId="0" xfId="0" applyFont="1" applyFill="1" applyBorder="1" applyAlignment="1">
      <alignment horizontal="center" vertical="center" wrapText="1"/>
    </xf>
    <xf numFmtId="0" fontId="0" fillId="34" borderId="0" xfId="0" applyFill="1" applyBorder="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8">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4" formatCode="&quot;₹&quot;\ #,##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medium">
          <color indexed="64"/>
        </left>
        <right style="medium">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[sales_project_dataset.xlsx]Summery!PivotTable2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Summery!$H$10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Summery!$G$11:$G$37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Summery!$H$11:$H$37</c:f>
              <c:numCache>
                <c:formatCode>"₹"\ #,##0</c:formatCode>
                <c:ptCount val="24"/>
                <c:pt idx="0">
                  <c:v>724197</c:v>
                </c:pt>
                <c:pt idx="1">
                  <c:v>1214315</c:v>
                </c:pt>
                <c:pt idx="2">
                  <c:v>2187236</c:v>
                </c:pt>
                <c:pt idx="3">
                  <c:v>772062</c:v>
                </c:pt>
                <c:pt idx="4">
                  <c:v>1099701</c:v>
                </c:pt>
                <c:pt idx="5">
                  <c:v>1288759</c:v>
                </c:pt>
                <c:pt idx="6">
                  <c:v>1207604</c:v>
                </c:pt>
                <c:pt idx="7">
                  <c:v>1408665</c:v>
                </c:pt>
                <c:pt idx="8">
                  <c:v>214918</c:v>
                </c:pt>
                <c:pt idx="9">
                  <c:v>1727408</c:v>
                </c:pt>
                <c:pt idx="10">
                  <c:v>914381</c:v>
                </c:pt>
                <c:pt idx="11">
                  <c:v>161985</c:v>
                </c:pt>
                <c:pt idx="12">
                  <c:v>1087351</c:v>
                </c:pt>
                <c:pt idx="13">
                  <c:v>304982</c:v>
                </c:pt>
                <c:pt idx="14">
                  <c:v>1121684</c:v>
                </c:pt>
                <c:pt idx="15">
                  <c:v>1362318</c:v>
                </c:pt>
                <c:pt idx="16">
                  <c:v>524932</c:v>
                </c:pt>
                <c:pt idx="17">
                  <c:v>1597673</c:v>
                </c:pt>
                <c:pt idx="18">
                  <c:v>1846568</c:v>
                </c:pt>
                <c:pt idx="19">
                  <c:v>909158</c:v>
                </c:pt>
                <c:pt idx="20">
                  <c:v>1750523</c:v>
                </c:pt>
                <c:pt idx="21">
                  <c:v>630473</c:v>
                </c:pt>
                <c:pt idx="22">
                  <c:v>821381</c:v>
                </c:pt>
                <c:pt idx="23">
                  <c:v>399874</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0119960"/>
        <c:axId val="270121920"/>
      </c:lineChart>
      <c:catAx>
        <c:axId val="2701199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70121920"/>
        <c:crosses val="autoZero"/>
        <c:auto val="1"/>
        <c:lblAlgn val="ctr"/>
        <c:lblOffset val="100"/>
        <c:noMultiLvlLbl val="0"/>
      </c:catAx>
      <c:valAx>
        <c:axId val="2701219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0119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[sales_project_dataset.xlsx]Summery!PivotTable4</c:name>
    <c:fmtId val="20"/>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694474304716085E-2"/>
              <c:y val="-4.447453414117627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C528AB8-1A94-4E84-A23E-61E973B4D547}" type="CATEGORYNAME">
                  <a:rPr lang="en-US"/>
                  <a:pPr>
                    <a:defRPr/>
                  </a:pPr>
                  <a:t>[CATEGORY NAME]</a:t>
                </a:fld>
                <a:r>
                  <a:rPr lang="en-US" baseline="0"/>
                  <a:t>, </a:t>
                </a:r>
              </a:p>
              <a:p>
                <a:pPr>
                  <a:defRPr/>
                </a:pPr>
                <a:fld id="{42B03D02-CB00-4C0A-80C5-EC142B1323B8}"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4228966172318691"/>
                  <c:h val="0.11385254413291797"/>
                </c:manualLayout>
              </c15:layout>
              <c15:dlblFieldTable/>
              <c15:showDataLabelsRange val="0"/>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0518057340752668E-2"/>
              <c:y val="6.549970973254504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471826A2-6F4D-440B-ADB7-4BEEDB956D08}" type="CATEGORYNAME">
                  <a:rPr lang="en-US"/>
                  <a:pPr>
                    <a:defRPr/>
                  </a:pPr>
                  <a:t>[CATEGORY NAME]</a:t>
                </a:fld>
                <a:r>
                  <a:rPr lang="en-US" baseline="0"/>
                  <a:t>,</a:t>
                </a:r>
              </a:p>
              <a:p>
                <a:pPr>
                  <a:defRPr/>
                </a:pPr>
                <a:r>
                  <a:rPr lang="en-US" baseline="0"/>
                  <a:t> </a:t>
                </a:r>
                <a:fld id="{DF8412DA-9369-481C-84D8-C7FE982CFADD}"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5778215223097114E-2"/>
              <c:y val="-4.946412948381452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8E0F330-95A6-4CCC-9D4B-C4BCE0E854D9}" type="CATEGORYNAME">
                  <a:rPr lang="en-US"/>
                  <a:pPr>
                    <a:defRPr/>
                  </a:pPr>
                  <a:t>[CATEGORY NAME]</a:t>
                </a:fld>
                <a:r>
                  <a:rPr lang="en-US" baseline="0"/>
                  <a:t>,</a:t>
                </a:r>
              </a:p>
              <a:p>
                <a:pPr>
                  <a:defRPr/>
                </a:pPr>
                <a:r>
                  <a:rPr lang="en-US" baseline="0"/>
                  <a:t> </a:t>
                </a:r>
                <a:fld id="{0126149A-FABE-4017-BA69-DD649380EDF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903641589616538E-2"/>
              <c:y val="2.2128355450895587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DD61F59-EB45-491A-A9DC-B930E9B66B82}" type="CATEGORYNAME">
                  <a:rPr lang="en-US"/>
                  <a:pPr>
                    <a:defRPr/>
                  </a:pPr>
                  <a:t>[CATEGORY NAME]</a:t>
                </a:fld>
                <a:r>
                  <a:rPr lang="en-US" baseline="0"/>
                  <a:t>, </a:t>
                </a:r>
              </a:p>
              <a:p>
                <a:pPr>
                  <a:defRPr/>
                </a:pPr>
                <a:fld id="{4F234C8C-0AFD-46CE-B1BC-C24DD3B11EEA}"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6253224311688614E-3"/>
              <c:y val="-7.6414747222017807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83DAD8D0-F489-459F-B629-5D1E4AF74D09}" type="CATEGORYNAME">
                  <a:rPr lang="en-US"/>
                  <a:pPr>
                    <a:defRPr/>
                  </a:pPr>
                  <a:t>[CATEGORY NAME]</a:t>
                </a:fld>
                <a:r>
                  <a:rPr lang="en-US" baseline="0"/>
                  <a:t>, </a:t>
                </a:r>
              </a:p>
              <a:p>
                <a:pPr>
                  <a:defRPr/>
                </a:pPr>
                <a:fld id="{556E3BB2-78E7-42E8-89E8-3BBEC8381A3E}"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8459255139176314E-2"/>
              <c:y val="7.8753239957154893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64FA061B-7E3E-44D9-A1D1-68F4260F6000}" type="CATEGORYNAME">
                  <a:rPr lang="en-US"/>
                  <a:pPr>
                    <a:defRPr/>
                  </a:pPr>
                  <a:t>[CATEGORY NAME]</a:t>
                </a:fld>
                <a:r>
                  <a:rPr lang="en-US" baseline="0"/>
                  <a:t>, </a:t>
                </a:r>
              </a:p>
              <a:p>
                <a:pPr>
                  <a:defRPr/>
                </a:pPr>
                <a:fld id="{83CD5C10-2042-47B9-81A1-F009554C6EAF}"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Summery!$H$50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showLegendKey val="0"/>
              <c:showVal val="1"/>
              <c:showCatName val="1"/>
              <c:showSerName val="0"/>
              <c:showPercent val="0"/>
              <c:showBubbleSize val="0"/>
              <c:extLst>
                <c:ext xmlns:c15="http://schemas.microsoft.com/office/drawing/2012/chart" uri="{CE6537A1-D6FC-4f65-9D91-7224C49458BB}">
                  <c15:layout/>
                </c:ext>
              </c:extLst>
            </c:dLbl>
            <c:dLbl>
              <c:idx val="1"/>
              <c:layout>
                <c:manualLayout>
                  <c:x val="-1.4694474304716085E-2"/>
                  <c:y val="-4.4474534141176275E-2"/>
                </c:manualLayout>
              </c:layout>
              <c:tx>
                <c:rich>
                  <a:bodyPr/>
                  <a:lstStyle/>
                  <a:p>
                    <a:fld id="{2C528AB8-1A94-4E84-A23E-61E973B4D547}" type="CATEGORYNAME">
                      <a:rPr lang="en-US"/>
                      <a:pPr/>
                      <a:t>[CATEGORY NAME]</a:t>
                    </a:fld>
                    <a:r>
                      <a:rPr lang="en-US" baseline="0"/>
                      <a:t>, </a:t>
                    </a:r>
                  </a:p>
                  <a:p>
                    <a:fld id="{42B03D02-CB00-4C0A-80C5-EC142B1323B8}"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14228966172318691"/>
                      <c:h val="0.11385254413291797"/>
                    </c:manualLayout>
                  </c15:layout>
                  <c15:dlblFieldTable/>
                  <c15:showDataLabelsRange val="0"/>
                </c:ext>
              </c:extLst>
            </c:dLbl>
            <c:dLbl>
              <c:idx val="2"/>
              <c:layout>
                <c:manualLayout>
                  <c:x val="-2.0518057340752668E-2"/>
                  <c:y val="6.5499709732545042E-2"/>
                </c:manualLayout>
              </c:layout>
              <c:tx>
                <c:rich>
                  <a:bodyPr/>
                  <a:lstStyle/>
                  <a:p>
                    <a:fld id="{471826A2-6F4D-440B-ADB7-4BEEDB956D08}" type="CATEGORYNAME">
                      <a:rPr lang="en-US"/>
                      <a:pPr/>
                      <a:t>[CATEGORY NAME]</a:t>
                    </a:fld>
                    <a:r>
                      <a:rPr lang="en-US" baseline="0"/>
                      <a:t>,</a:t>
                    </a:r>
                  </a:p>
                  <a:p>
                    <a:r>
                      <a:rPr lang="en-US" baseline="0"/>
                      <a:t> </a:t>
                    </a:r>
                    <a:fld id="{DF8412DA-9369-481C-84D8-C7FE982CFAD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dLbl>
              <c:idx val="3"/>
              <c:layout>
                <c:manualLayout>
                  <c:x val="-2.5778215223097114E-2"/>
                  <c:y val="-4.9464129483814522E-3"/>
                </c:manualLayout>
              </c:layout>
              <c:tx>
                <c:rich>
                  <a:bodyPr/>
                  <a:lstStyle/>
                  <a:p>
                    <a:fld id="{C8E0F330-95A6-4CCC-9D4B-C4BCE0E854D9}" type="CATEGORYNAME">
                      <a:rPr lang="en-US"/>
                      <a:pPr/>
                      <a:t>[CATEGORY NAME]</a:t>
                    </a:fld>
                    <a:r>
                      <a:rPr lang="en-US" baseline="0"/>
                      <a:t>,</a:t>
                    </a:r>
                  </a:p>
                  <a:p>
                    <a:r>
                      <a:rPr lang="en-US" baseline="0"/>
                      <a:t> </a:t>
                    </a:r>
                    <a:fld id="{0126149A-FABE-4017-BA69-DD649380EDF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dLbl>
              <c:idx val="4"/>
              <c:layout>
                <c:manualLayout>
                  <c:x val="3.7903641589616538E-2"/>
                  <c:y val="2.2128355450895587E-2"/>
                </c:manualLayout>
              </c:layout>
              <c:tx>
                <c:rich>
                  <a:bodyPr/>
                  <a:lstStyle/>
                  <a:p>
                    <a:fld id="{DDD61F59-EB45-491A-A9DC-B930E9B66B82}" type="CATEGORYNAME">
                      <a:rPr lang="en-US"/>
                      <a:pPr/>
                      <a:t>[CATEGORY NAME]</a:t>
                    </a:fld>
                    <a:r>
                      <a:rPr lang="en-US" baseline="0"/>
                      <a:t>, </a:t>
                    </a:r>
                  </a:p>
                  <a:p>
                    <a:fld id="{4F234C8C-0AFD-46CE-B1BC-C24DD3B11EEA}"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dLbl>
              <c:idx val="5"/>
              <c:layout>
                <c:manualLayout>
                  <c:x val="9.6253224311688614E-3"/>
                  <c:y val="-7.6414747222017807E-3"/>
                </c:manualLayout>
              </c:layout>
              <c:tx>
                <c:rich>
                  <a:bodyPr/>
                  <a:lstStyle/>
                  <a:p>
                    <a:fld id="{83DAD8D0-F489-459F-B629-5D1E4AF74D09}" type="CATEGORYNAME">
                      <a:rPr lang="en-US"/>
                      <a:pPr/>
                      <a:t>[CATEGORY NAME]</a:t>
                    </a:fld>
                    <a:r>
                      <a:rPr lang="en-US" baseline="0"/>
                      <a:t>, </a:t>
                    </a:r>
                  </a:p>
                  <a:p>
                    <a:fld id="{556E3BB2-78E7-42E8-89E8-3BBEC8381A3E}"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dLbl>
              <c:idx val="6"/>
              <c:layout>
                <c:manualLayout>
                  <c:x val="3.8459255139176314E-2"/>
                  <c:y val="7.8753239957154893E-3"/>
                </c:manualLayout>
              </c:layout>
              <c:tx>
                <c:rich>
                  <a:bodyPr/>
                  <a:lstStyle/>
                  <a:p>
                    <a:fld id="{64FA061B-7E3E-44D9-A1D1-68F4260F6000}" type="CATEGORYNAME">
                      <a:rPr lang="en-US"/>
                      <a:pPr/>
                      <a:t>[CATEGORY NAME]</a:t>
                    </a:fld>
                    <a:r>
                      <a:rPr lang="en-US" baseline="0"/>
                      <a:t>, </a:t>
                    </a:r>
                  </a:p>
                  <a:p>
                    <a:fld id="{83CD5C10-2042-47B9-81A1-F009554C6EAF}"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Summery!$G$51:$G$58</c:f>
              <c:strCache>
                <c:ptCount val="7"/>
                <c:pt idx="0">
                  <c:v>Smartwatch</c:v>
                </c:pt>
                <c:pt idx="1">
                  <c:v>Monitor</c:v>
                </c:pt>
                <c:pt idx="2">
                  <c:v>Headphones</c:v>
                </c:pt>
                <c:pt idx="3">
                  <c:v>Laptop</c:v>
                </c:pt>
                <c:pt idx="4">
                  <c:v>Mouse</c:v>
                </c:pt>
                <c:pt idx="5">
                  <c:v>Mobile</c:v>
                </c:pt>
                <c:pt idx="6">
                  <c:v>Keyboard</c:v>
                </c:pt>
              </c:strCache>
            </c:strRef>
          </c:cat>
          <c:val>
            <c:numRef>
              <c:f>Summery!$H$51:$H$58</c:f>
              <c:numCache>
                <c:formatCode>"₹"\ #,##0</c:formatCode>
                <c:ptCount val="7"/>
                <c:pt idx="0">
                  <c:v>2951507</c:v>
                </c:pt>
                <c:pt idx="1">
                  <c:v>3280886</c:v>
                </c:pt>
                <c:pt idx="2">
                  <c:v>3565903</c:v>
                </c:pt>
                <c:pt idx="3">
                  <c:v>3825222</c:v>
                </c:pt>
                <c:pt idx="4">
                  <c:v>3844347</c:v>
                </c:pt>
                <c:pt idx="5">
                  <c:v>3849870</c:v>
                </c:pt>
                <c:pt idx="6">
                  <c:v>3960413</c:v>
                </c:pt>
              </c:numCache>
            </c:numRef>
          </c:val>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[sales_project_dataset.xlsx]Summery!PivotTable3</c:name>
    <c:fmtId val="2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Summery!$H$41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Summery!$G$42:$G$46</c:f>
              <c:strCache>
                <c:ptCount val="4"/>
                <c:pt idx="0">
                  <c:v>East</c:v>
                </c:pt>
                <c:pt idx="1">
                  <c:v>North</c:v>
                </c:pt>
                <c:pt idx="2">
                  <c:v>South</c:v>
                </c:pt>
                <c:pt idx="3">
                  <c:v>West</c:v>
                </c:pt>
              </c:strCache>
            </c:strRef>
          </c:cat>
          <c:val>
            <c:numRef>
              <c:f>Summery!$H$42:$H$46</c:f>
              <c:numCache>
                <c:formatCode>"₹"\ #,##0</c:formatCode>
                <c:ptCount val="4"/>
                <c:pt idx="0">
                  <c:v>7836511</c:v>
                </c:pt>
                <c:pt idx="1">
                  <c:v>5920252</c:v>
                </c:pt>
                <c:pt idx="2">
                  <c:v>5223702</c:v>
                </c:pt>
                <c:pt idx="3">
                  <c:v>6297683</c:v>
                </c:pt>
              </c:numCache>
            </c:numRef>
          </c:val>
        </c:ser>
        <c:dLbls>
          <c:dLblPos val="ctr"/>
          <c:showLegendKey val="0"/>
          <c:showVal val="1"/>
          <c:showCatName val="0"/>
          <c:showSerName val="0"/>
          <c:showPercent val="0"/>
          <c:showBubbleSize val="0"/>
        </c:dLbls>
        <c:gapWidth val="150"/>
        <c:overlap val="100"/>
        <c:axId val="406551680"/>
        <c:axId val="442244648"/>
      </c:barChart>
      <c:catAx>
        <c:axId val="406551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244648"/>
        <c:crosses val="autoZero"/>
        <c:auto val="1"/>
        <c:lblAlgn val="ctr"/>
        <c:lblOffset val="100"/>
        <c:noMultiLvlLbl val="0"/>
      </c:catAx>
      <c:valAx>
        <c:axId val="44224464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6551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7</xdr:row>
      <xdr:rowOff>180975</xdr:rowOff>
    </xdr:from>
    <xdr:to>
      <xdr:col>1</xdr:col>
      <xdr:colOff>790575</xdr:colOff>
      <xdr:row>16</xdr:row>
      <xdr:rowOff>19050</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2425" y="1657350"/>
              <a:ext cx="182880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17</xdr:row>
      <xdr:rowOff>19051</xdr:rowOff>
    </xdr:from>
    <xdr:to>
      <xdr:col>1</xdr:col>
      <xdr:colOff>819150</xdr:colOff>
      <xdr:row>29</xdr:row>
      <xdr:rowOff>1</xdr:rowOff>
    </xdr:to>
    <mc:AlternateContent xmlns:mc="http://schemas.openxmlformats.org/markup-compatibility/2006">
      <mc:Choice xmlns:a14="http://schemas.microsoft.com/office/drawing/2010/main"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000" y="3400426"/>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xdr:row>
      <xdr:rowOff>9526</xdr:rowOff>
    </xdr:from>
    <xdr:to>
      <xdr:col>8</xdr:col>
      <xdr:colOff>952500</xdr:colOff>
      <xdr:row>6</xdr:row>
      <xdr:rowOff>171451</xdr:rowOff>
    </xdr:to>
    <mc:AlternateContent xmlns:mc="http://schemas.openxmlformats.org/markup-compatibility/2006">
      <mc:Choice xmlns:tsle="http://schemas.microsoft.com/office/drawing/2012/timeslicer" Requires="tsle">
        <xdr:graphicFrame macro="">
          <xdr:nvGraphicFramePr>
            <xdr:cNvPr id="8"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42900" y="533401"/>
              <a:ext cx="11734800"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1381124</xdr:colOff>
      <xdr:row>12</xdr:row>
      <xdr:rowOff>190499</xdr:rowOff>
    </xdr:from>
    <xdr:to>
      <xdr:col>8</xdr:col>
      <xdr:colOff>962025</xdr:colOff>
      <xdr:row>32</xdr:row>
      <xdr:rowOff>152400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371474</xdr:colOff>
      <xdr:row>35</xdr:row>
      <xdr:rowOff>104774</xdr:rowOff>
    </xdr:from>
    <xdr:to>
      <xdr:col>3</xdr:col>
      <xdr:colOff>1219200</xdr:colOff>
      <xdr:row>51</xdr:row>
      <xdr:rowOff>114299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523875</xdr:colOff>
      <xdr:row>35</xdr:row>
      <xdr:rowOff>104775</xdr:rowOff>
    </xdr:from>
    <xdr:to>
      <xdr:col>7</xdr:col>
      <xdr:colOff>923925</xdr:colOff>
      <xdr:row>49</xdr:row>
      <xdr:rowOff>180975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466725</xdr:colOff>
      <xdr:row>8</xdr:row>
      <xdr:rowOff>9525</xdr:rowOff>
    </xdr:from>
    <xdr:to>
      <xdr:col>4</xdr:col>
      <xdr:colOff>952500</xdr:colOff>
      <xdr:row>10</xdr:row>
      <xdr:rowOff>171450</xdr:rowOff>
    </xdr:to>
    <xdr:sp macro="" textlink="Summery!$B$1">
      <xdr:nvSpPr>
        <xdr:cNvPr id="19" name="Rounded Rectangle 18"/>
        <xdr:cNvSpPr/>
      </xdr:nvSpPr>
      <xdr:spPr>
        <a:xfrm>
          <a:off x="4638675" y="1676400"/>
          <a:ext cx="1876425" cy="5429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50D0FD5-A236-4A60-87D3-F94DCC79F95B}" type="TxLink">
            <a:rPr lang="en-US" sz="2000" b="0" i="0" u="none" strike="noStrike">
              <a:solidFill>
                <a:schemeClr val="bg1"/>
              </a:solidFill>
              <a:latin typeface="Calibri"/>
              <a:ea typeface="+mn-ea"/>
              <a:cs typeface="Calibri"/>
            </a:rPr>
            <a:pPr marL="0" indent="0" algn="ctr"/>
            <a:t>1014</a:t>
          </a:fld>
          <a:endParaRPr lang="en-IN" sz="2000" b="0" i="0" u="none" strike="noStrike">
            <a:solidFill>
              <a:schemeClr val="bg1"/>
            </a:solidFill>
            <a:latin typeface="Calibri"/>
            <a:ea typeface="+mn-ea"/>
            <a:cs typeface="Calibri"/>
          </a:endParaRPr>
        </a:p>
      </xdr:txBody>
    </xdr:sp>
    <xdr:clientData/>
  </xdr:twoCellAnchor>
  <xdr:twoCellAnchor>
    <xdr:from>
      <xdr:col>6</xdr:col>
      <xdr:colOff>781050</xdr:colOff>
      <xdr:row>8</xdr:row>
      <xdr:rowOff>0</xdr:rowOff>
    </xdr:from>
    <xdr:to>
      <xdr:col>7</xdr:col>
      <xdr:colOff>1266825</xdr:colOff>
      <xdr:row>11</xdr:row>
      <xdr:rowOff>9525</xdr:rowOff>
    </xdr:to>
    <xdr:sp macro="" textlink="Summery!$B$3">
      <xdr:nvSpPr>
        <xdr:cNvPr id="21" name="Rounded Rectangle 20"/>
        <xdr:cNvSpPr/>
      </xdr:nvSpPr>
      <xdr:spPr>
        <a:xfrm>
          <a:off x="9124950" y="1666875"/>
          <a:ext cx="18764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6E5F632-5CA7-4B72-91FE-CD0F5F6C3C00}" type="TxLink">
            <a:rPr lang="en-US" sz="2000" b="0" i="0" u="none" strike="noStrike">
              <a:solidFill>
                <a:schemeClr val="bg1"/>
              </a:solidFill>
              <a:latin typeface="Calibri"/>
              <a:ea typeface="+mn-ea"/>
              <a:cs typeface="Calibri"/>
            </a:rPr>
            <a:pPr marL="0" indent="0" algn="ctr"/>
            <a:t> ₹ 2,52,78,148 </a:t>
          </a:fld>
          <a:endParaRPr lang="en-IN" sz="2000" b="0" i="0" u="none" strike="noStrike">
            <a:solidFill>
              <a:schemeClr val="bg1"/>
            </a:solidFill>
            <a:latin typeface="Calibri"/>
            <a:ea typeface="+mn-ea"/>
            <a:cs typeface="Calibri"/>
          </a:endParaRPr>
        </a:p>
      </xdr:txBody>
    </xdr:sp>
    <xdr:clientData/>
  </xdr:twoCellAnchor>
  <xdr:oneCellAnchor>
    <xdr:from>
      <xdr:col>1</xdr:col>
      <xdr:colOff>1381125</xdr:colOff>
      <xdr:row>8</xdr:row>
      <xdr:rowOff>8513</xdr:rowOff>
    </xdr:from>
    <xdr:ext cx="1828800" cy="553462"/>
    <xdr:sp macro="" textlink="">
      <xdr:nvSpPr>
        <xdr:cNvPr id="22" name="TextBox 21"/>
        <xdr:cNvSpPr txBox="1"/>
      </xdr:nvSpPr>
      <xdr:spPr>
        <a:xfrm>
          <a:off x="2771775" y="1675388"/>
          <a:ext cx="1828800" cy="55346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noAutofit/>
        </a:bodyPr>
        <a:lstStyle/>
        <a:p>
          <a:pPr algn="ctr"/>
          <a:r>
            <a:rPr lang="en-IN" sz="1600">
              <a:solidFill>
                <a:schemeClr val="bg1"/>
              </a:solidFill>
            </a:rPr>
            <a:t>ORDER</a:t>
          </a:r>
          <a:r>
            <a:rPr lang="en-IN" sz="1600" baseline="0">
              <a:solidFill>
                <a:schemeClr val="bg1"/>
              </a:solidFill>
            </a:rPr>
            <a:t> RECIEVED</a:t>
          </a:r>
          <a:endParaRPr lang="en-IN" sz="1100">
            <a:solidFill>
              <a:schemeClr val="bg1"/>
            </a:solidFill>
          </a:endParaRPr>
        </a:p>
      </xdr:txBody>
    </xdr:sp>
    <xdr:clientData/>
  </xdr:oneCellAnchor>
  <xdr:oneCellAnchor>
    <xdr:from>
      <xdr:col>5</xdr:col>
      <xdr:colOff>276225</xdr:colOff>
      <xdr:row>7</xdr:row>
      <xdr:rowOff>190499</xdr:rowOff>
    </xdr:from>
    <xdr:ext cx="1828800" cy="581025"/>
    <xdr:sp macro="" textlink="">
      <xdr:nvSpPr>
        <xdr:cNvPr id="24" name="TextBox 23"/>
        <xdr:cNvSpPr txBox="1"/>
      </xdr:nvSpPr>
      <xdr:spPr>
        <a:xfrm>
          <a:off x="7229475" y="1666874"/>
          <a:ext cx="1828800" cy="5810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noAutofit/>
        </a:bodyPr>
        <a:lstStyle/>
        <a:p>
          <a:pPr algn="ctr"/>
          <a:r>
            <a:rPr lang="en-IN" sz="1600">
              <a:solidFill>
                <a:schemeClr val="bg1"/>
              </a:solidFill>
            </a:rPr>
            <a:t>TOTAL AMOUNT</a:t>
          </a:r>
          <a:endParaRPr lang="en-IN"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tin" refreshedDate="46007.883330439814" createdVersion="5" refreshedVersion="5" minRefreshableVersion="3" recordCount="200">
  <cacheSource type="worksheet">
    <worksheetSource ref="A1:H201" sheet="sales_project_dataset"/>
  </cacheSource>
  <cacheFields count="9">
    <cacheField name="Order_ID" numFmtId="0">
      <sharedItems count="2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haredItems>
    </cacheField>
    <cacheField name="Order_Date" numFmtId="14">
      <sharedItems containsSemiMixedTypes="0" containsNonDate="0" containsDate="1" containsString="0" minDate="2023-01-04T00:00:00" maxDate="2024-12-26T00:00:00" count="178">
        <d v="2023-06-19T00:00:00"/>
        <d v="2024-11-25T00:00:00"/>
        <d v="2024-11-20T00:00:00"/>
        <d v="2024-07-24T00:00:00"/>
        <d v="2023-03-01T00:00:00"/>
        <d v="2023-01-31T00:00:00"/>
        <d v="2023-05-01T00:00:00"/>
        <d v="2024-12-18T00:00:00"/>
        <d v="2024-01-28T00:00:00"/>
        <d v="2024-09-01T00:00:00"/>
        <d v="2023-10-21T00:00:00"/>
        <d v="2024-04-30T00:00:00"/>
        <d v="2024-04-10T00:00:00"/>
        <d v="2024-09-13T00:00:00"/>
        <d v="2024-07-08T00:00:00"/>
        <d v="2024-09-11T00:00:00"/>
        <d v="2024-02-10T00:00:00"/>
        <d v="2023-02-26T00:00:00"/>
        <d v="2023-03-24T00:00:00"/>
        <d v="2023-06-15T00:00:00"/>
        <d v="2024-03-16T00:00:00"/>
        <d v="2024-01-13T00:00:00"/>
        <d v="2023-07-16T00:00:00"/>
        <d v="2024-08-14T00:00:00"/>
        <d v="2023-01-15T00:00:00"/>
        <d v="2024-07-03T00:00:00"/>
        <d v="2024-12-03T00:00:00"/>
        <d v="2023-06-02T00:00:00"/>
        <d v="2024-05-21T00:00:00"/>
        <d v="2024-07-15T00:00:00"/>
        <d v="2023-01-19T00:00:00"/>
        <d v="2024-08-31T00:00:00"/>
        <d v="2024-10-12T00:00:00"/>
        <d v="2024-04-04T00:00:00"/>
        <d v="2024-08-10T00:00:00"/>
        <d v="2024-11-30T00:00:00"/>
        <d v="2023-02-15T00:00:00"/>
        <d v="2023-08-11T00:00:00"/>
        <d v="2023-01-16T00:00:00"/>
        <d v="2024-07-22T00:00:00"/>
        <d v="2023-01-24T00:00:00"/>
        <d v="2023-05-30T00:00:00"/>
        <d v="2024-06-06T00:00:00"/>
        <d v="2024-07-25T00:00:00"/>
        <d v="2024-03-10T00:00:00"/>
        <d v="2023-07-21T00:00:00"/>
        <d v="2024-07-20T00:00:00"/>
        <d v="2023-09-26T00:00:00"/>
        <d v="2024-09-22T00:00:00"/>
        <d v="2023-08-12T00:00:00"/>
        <d v="2023-03-16T00:00:00"/>
        <d v="2023-04-19T00:00:00"/>
        <d v="2024-09-24T00:00:00"/>
        <d v="2024-03-07T00:00:00"/>
        <d v="2024-02-27T00:00:00"/>
        <d v="2023-08-15T00:00:00"/>
        <d v="2024-05-07T00:00:00"/>
        <d v="2023-01-04T00:00:00"/>
        <d v="2024-07-01T00:00:00"/>
        <d v="2024-08-24T00:00:00"/>
        <d v="2024-08-28T00:00:00"/>
        <d v="2024-06-25T00:00:00"/>
        <d v="2024-06-03T00:00:00"/>
        <d v="2023-07-09T00:00:00"/>
        <d v="2023-08-10T00:00:00"/>
        <d v="2023-10-27T00:00:00"/>
        <d v="2023-06-23T00:00:00"/>
        <d v="2023-04-14T00:00:00"/>
        <d v="2023-03-23T00:00:00"/>
        <d v="2024-02-17T00:00:00"/>
        <d v="2024-09-12T00:00:00"/>
        <d v="2024-01-14T00:00:00"/>
        <d v="2024-06-20T00:00:00"/>
        <d v="2024-02-23T00:00:00"/>
        <d v="2023-01-21T00:00:00"/>
        <d v="2023-02-19T00:00:00"/>
        <d v="2023-02-02T00:00:00"/>
        <d v="2024-03-15T00:00:00"/>
        <d v="2024-07-05T00:00:00"/>
        <d v="2024-08-27T00:00:00"/>
        <d v="2023-07-11T00:00:00"/>
        <d v="2024-11-24T00:00:00"/>
        <d v="2023-08-13T00:00:00"/>
        <d v="2023-09-18T00:00:00"/>
        <d v="2023-03-11T00:00:00"/>
        <d v="2023-10-26T00:00:00"/>
        <d v="2024-05-20T00:00:00"/>
        <d v="2024-06-29T00:00:00"/>
        <d v="2024-09-07T00:00:00"/>
        <d v="2023-08-31T00:00:00"/>
        <d v="2024-01-31T00:00:00"/>
        <d v="2024-01-06T00:00:00"/>
        <d v="2023-10-04T00:00:00"/>
        <d v="2024-04-18T00:00:00"/>
        <d v="2023-10-30T00:00:00"/>
        <d v="2023-05-18T00:00:00"/>
        <d v="2023-06-01T00:00:00"/>
        <d v="2023-04-15T00:00:00"/>
        <d v="2023-04-21T00:00:00"/>
        <d v="2023-05-05T00:00:00"/>
        <d v="2024-03-05T00:00:00"/>
        <d v="2024-10-27T00:00:00"/>
        <d v="2024-08-15T00:00:00"/>
        <d v="2023-01-17T00:00:00"/>
        <d v="2023-11-25T00:00:00"/>
        <d v="2023-05-11T00:00:00"/>
        <d v="2023-10-03T00:00:00"/>
        <d v="2024-09-20T00:00:00"/>
        <d v="2024-03-31T00:00:00"/>
        <d v="2023-03-26T00:00:00"/>
        <d v="2024-12-08T00:00:00"/>
        <d v="2023-08-14T00:00:00"/>
        <d v="2023-05-19T00:00:00"/>
        <d v="2023-07-15T00:00:00"/>
        <d v="2023-01-13T00:00:00"/>
        <d v="2023-12-10T00:00:00"/>
        <d v="2023-05-13T00:00:00"/>
        <d v="2024-01-20T00:00:00"/>
        <d v="2023-08-02T00:00:00"/>
        <d v="2024-10-06T00:00:00"/>
        <d v="2024-05-30T00:00:00"/>
        <d v="2023-07-23T00:00:00"/>
        <d v="2024-05-17T00:00:00"/>
        <d v="2024-07-21T00:00:00"/>
        <d v="2023-10-28T00:00:00"/>
        <d v="2024-03-24T00:00:00"/>
        <d v="2024-09-06T00:00:00"/>
        <d v="2023-07-20T00:00:00"/>
        <d v="2023-03-21T00:00:00"/>
        <d v="2024-08-30T00:00:00"/>
        <d v="2024-04-01T00:00:00"/>
        <d v="2023-04-02T00:00:00"/>
        <d v="2024-03-06T00:00:00"/>
        <d v="2023-12-07T00:00:00"/>
        <d v="2023-08-23T00:00:00"/>
        <d v="2024-05-25T00:00:00"/>
        <d v="2023-07-22T00:00:00"/>
        <d v="2023-12-30T00:00:00"/>
        <d v="2024-12-21T00:00:00"/>
        <d v="2024-06-18T00:00:00"/>
        <d v="2024-08-07T00:00:00"/>
        <d v="2023-07-05T00:00:00"/>
        <d v="2023-09-23T00:00:00"/>
        <d v="2023-03-31T00:00:00"/>
        <d v="2024-07-19T00:00:00"/>
        <d v="2023-08-30T00:00:00"/>
        <d v="2024-01-07T00:00:00"/>
        <d v="2024-10-01T00:00:00"/>
        <d v="2024-11-16T00:00:00"/>
        <d v="2023-06-06T00:00:00"/>
        <d v="2023-01-11T00:00:00"/>
        <d v="2023-12-14T00:00:00"/>
        <d v="2024-09-03T00:00:00"/>
        <d v="2023-04-10T00:00:00"/>
        <d v="2024-05-24T00:00:00"/>
        <d v="2023-11-29T00:00:00"/>
        <d v="2023-10-29T00:00:00"/>
        <d v="2023-02-25T00:00:00"/>
        <d v="2023-05-21T00:00:00"/>
        <d v="2024-06-08T00:00:00"/>
        <d v="2024-06-16T00:00:00"/>
        <d v="2024-11-13T00:00:00"/>
        <d v="2023-05-24T00:00:00"/>
        <d v="2023-07-27T00:00:00"/>
        <d v="2023-11-10T00:00:00"/>
        <d v="2024-06-10T00:00:00"/>
        <d v="2023-03-14T00:00:00"/>
        <d v="2023-10-01T00:00:00"/>
        <d v="2024-04-19T00:00:00"/>
        <d v="2023-08-06T00:00:00"/>
        <d v="2023-01-08T00:00:00"/>
        <d v="2024-08-06T00:00:00"/>
        <d v="2023-03-08T00:00:00"/>
        <d v="2024-12-25T00:00:00"/>
        <d v="2024-12-23T00:00:00"/>
        <d v="2023-06-08T00:00:00"/>
        <d v="2024-10-10T00:00:00"/>
        <d v="2024-10-22T00:00:00"/>
      </sharedItems>
      <fieldGroup par="8" base="1">
        <rangePr groupBy="months" startDate="2023-01-04T00:00:00" endDate="2024-12-26T00:00:00"/>
        <groupItems count="14">
          <s v="&lt;04-01-2023"/>
          <s v="Jan"/>
          <s v="Feb"/>
          <s v="Mar"/>
          <s v="Apr"/>
          <s v="May"/>
          <s v="Jun"/>
          <s v="Jul"/>
          <s v="Aug"/>
          <s v="Sep"/>
          <s v="Oct"/>
          <s v="Nov"/>
          <s v="Dec"/>
          <s v="&gt;26-12-2024"/>
        </groupItems>
      </fieldGroup>
    </cacheField>
    <cacheField name="Customer_ID" numFmtId="0">
      <sharedItems count="91">
        <s v="CUST088"/>
        <s v="CUST094"/>
        <s v="CUST099"/>
        <s v="CUST001"/>
        <s v="CUST078"/>
        <s v="CUST055"/>
        <s v="CUST027"/>
        <s v="CUST062"/>
        <s v="CUST075"/>
        <s v="CUST031"/>
        <s v="CUST028"/>
        <s v="CUST081"/>
        <s v="CUST043"/>
        <s v="CUST059"/>
        <s v="CUST012"/>
        <s v="CUST086"/>
        <s v="CUST023"/>
        <s v="CUST015"/>
        <s v="CUST070"/>
        <s v="CUST057"/>
        <s v="CUST076"/>
        <s v="CUST052"/>
        <s v="CUST006"/>
        <s v="CUST044"/>
        <s v="CUST018"/>
        <s v="CUST033"/>
        <s v="CUST071"/>
        <s v="CUST034"/>
        <s v="CUST060"/>
        <s v="CUST009"/>
        <s v="CUST008"/>
        <s v="CUST005"/>
        <s v="CUST002"/>
        <s v="CUST022"/>
        <s v="CUST093"/>
        <s v="CUST066"/>
        <s v="CUST040"/>
        <s v="CUST083"/>
        <s v="CUST087"/>
        <s v="CUST065"/>
        <s v="CUST029"/>
        <s v="CUST072"/>
        <s v="CUST067"/>
        <s v="CUST063"/>
        <s v="CUST079"/>
        <s v="CUST011"/>
        <s v="CUST003"/>
        <s v="CUST084"/>
        <s v="CUST020"/>
        <s v="CUST046"/>
        <s v="CUST053"/>
        <s v="CUST036"/>
        <s v="CUST024"/>
        <s v="CUST098"/>
        <s v="CUST037"/>
        <s v="CUST030"/>
        <s v="CUST085"/>
        <s v="CUST054"/>
        <s v="CUST048"/>
        <s v="CUST080"/>
        <s v="CUST042"/>
        <s v="CUST007"/>
        <s v="CUST077"/>
        <s v="CUST049"/>
        <s v="CUST038"/>
        <s v="CUST017"/>
        <s v="CUST096"/>
        <s v="CUST039"/>
        <s v="CUST016"/>
        <s v="CUST056"/>
        <s v="CUST058"/>
        <s v="CUST090"/>
        <s v="CUST095"/>
        <s v="CUST013"/>
        <s v="CUST045"/>
        <s v="CUST051"/>
        <s v="CUST097"/>
        <s v="CUST089"/>
        <s v="CUST019"/>
        <s v="CUST035"/>
        <s v="CUST004"/>
        <s v="CUST074"/>
        <s v="CUST041"/>
        <s v="CUST026"/>
        <s v="CUST100"/>
        <s v="CUST014"/>
        <s v="CUST092"/>
        <s v="CUST021"/>
        <s v="CUST025"/>
        <s v="CUST061"/>
        <s v="CUST082"/>
      </sharedItems>
    </cacheField>
    <cacheField name="Product" numFmtId="0">
      <sharedItems count="7">
        <s v="Monitor"/>
        <s v="Laptop"/>
        <s v="Mouse"/>
        <s v="Mobile"/>
        <s v="Headphones"/>
        <s v="Keyboard"/>
        <s v="Smartwatch"/>
      </sharedItems>
    </cacheField>
    <cacheField name="Region" numFmtId="0">
      <sharedItems count="4">
        <s v="North"/>
        <s v="West"/>
        <s v="South"/>
        <s v="East"/>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690" maxValue="49877"/>
    </cacheField>
    <cacheField name="Total_Amount" numFmtId="0">
      <sharedItems containsSemiMixedTypes="0" containsString="0" containsNumber="1" containsInteger="1" minValue="2752" maxValue="397248"/>
    </cacheField>
    <cacheField name="Years" numFmtId="0" databaseField="0">
      <fieldGroup base="1">
        <rangePr groupBy="years" startDate="2023-01-04T00:00:00" endDate="2024-12-26T00:00:00"/>
        <groupItems count="4">
          <s v="&lt;04-01-2023"/>
          <s v="2023"/>
          <s v="2024"/>
          <s v="&gt;26-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n v="7"/>
    <n v="38004"/>
    <n v="266028"/>
  </r>
  <r>
    <x v="1"/>
    <x v="1"/>
    <x v="1"/>
    <x v="1"/>
    <x v="1"/>
    <n v="4"/>
    <n v="2302"/>
    <n v="9208"/>
  </r>
  <r>
    <x v="2"/>
    <x v="2"/>
    <x v="2"/>
    <x v="2"/>
    <x v="2"/>
    <n v="8"/>
    <n v="8655"/>
    <n v="69240"/>
  </r>
  <r>
    <x v="3"/>
    <x v="3"/>
    <x v="3"/>
    <x v="0"/>
    <x v="1"/>
    <n v="5"/>
    <n v="8620"/>
    <n v="43100"/>
  </r>
  <r>
    <x v="4"/>
    <x v="4"/>
    <x v="4"/>
    <x v="3"/>
    <x v="1"/>
    <n v="7"/>
    <n v="39884"/>
    <n v="279188"/>
  </r>
  <r>
    <x v="5"/>
    <x v="5"/>
    <x v="5"/>
    <x v="4"/>
    <x v="0"/>
    <n v="3"/>
    <n v="47525"/>
    <n v="142575"/>
  </r>
  <r>
    <x v="6"/>
    <x v="6"/>
    <x v="0"/>
    <x v="2"/>
    <x v="0"/>
    <n v="7"/>
    <n v="47754"/>
    <n v="334278"/>
  </r>
  <r>
    <x v="7"/>
    <x v="7"/>
    <x v="6"/>
    <x v="2"/>
    <x v="2"/>
    <n v="8"/>
    <n v="22418"/>
    <n v="179344"/>
  </r>
  <r>
    <x v="8"/>
    <x v="8"/>
    <x v="7"/>
    <x v="0"/>
    <x v="1"/>
    <n v="5"/>
    <n v="20945"/>
    <n v="104725"/>
  </r>
  <r>
    <x v="9"/>
    <x v="9"/>
    <x v="8"/>
    <x v="1"/>
    <x v="2"/>
    <n v="4"/>
    <n v="30806"/>
    <n v="123224"/>
  </r>
  <r>
    <x v="10"/>
    <x v="10"/>
    <x v="9"/>
    <x v="1"/>
    <x v="1"/>
    <n v="8"/>
    <n v="17146"/>
    <n v="137168"/>
  </r>
  <r>
    <x v="11"/>
    <x v="11"/>
    <x v="10"/>
    <x v="4"/>
    <x v="0"/>
    <n v="8"/>
    <n v="47343"/>
    <n v="378744"/>
  </r>
  <r>
    <x v="12"/>
    <x v="12"/>
    <x v="11"/>
    <x v="5"/>
    <x v="2"/>
    <n v="3"/>
    <n v="31565"/>
    <n v="94695"/>
  </r>
  <r>
    <x v="13"/>
    <x v="13"/>
    <x v="12"/>
    <x v="0"/>
    <x v="3"/>
    <n v="6"/>
    <n v="25699"/>
    <n v="154194"/>
  </r>
  <r>
    <x v="14"/>
    <x v="14"/>
    <x v="13"/>
    <x v="3"/>
    <x v="2"/>
    <n v="5"/>
    <n v="42476"/>
    <n v="212380"/>
  </r>
  <r>
    <x v="15"/>
    <x v="15"/>
    <x v="14"/>
    <x v="4"/>
    <x v="2"/>
    <n v="2"/>
    <n v="16871"/>
    <n v="33742"/>
  </r>
  <r>
    <x v="16"/>
    <x v="16"/>
    <x v="15"/>
    <x v="2"/>
    <x v="3"/>
    <n v="8"/>
    <n v="12335"/>
    <n v="98680"/>
  </r>
  <r>
    <x v="17"/>
    <x v="17"/>
    <x v="16"/>
    <x v="5"/>
    <x v="2"/>
    <n v="6"/>
    <n v="46436"/>
    <n v="278616"/>
  </r>
  <r>
    <x v="18"/>
    <x v="18"/>
    <x v="3"/>
    <x v="0"/>
    <x v="1"/>
    <n v="2"/>
    <n v="2549"/>
    <n v="5098"/>
  </r>
  <r>
    <x v="19"/>
    <x v="19"/>
    <x v="17"/>
    <x v="3"/>
    <x v="0"/>
    <n v="5"/>
    <n v="32116"/>
    <n v="160580"/>
  </r>
  <r>
    <x v="20"/>
    <x v="20"/>
    <x v="4"/>
    <x v="5"/>
    <x v="1"/>
    <n v="1"/>
    <n v="38691"/>
    <n v="38691"/>
  </r>
  <r>
    <x v="21"/>
    <x v="21"/>
    <x v="18"/>
    <x v="6"/>
    <x v="0"/>
    <n v="6"/>
    <n v="47857"/>
    <n v="287142"/>
  </r>
  <r>
    <x v="22"/>
    <x v="22"/>
    <x v="19"/>
    <x v="1"/>
    <x v="3"/>
    <n v="9"/>
    <n v="21432"/>
    <n v="192888"/>
  </r>
  <r>
    <x v="23"/>
    <x v="23"/>
    <x v="20"/>
    <x v="1"/>
    <x v="2"/>
    <n v="1"/>
    <n v="30355"/>
    <n v="30355"/>
  </r>
  <r>
    <x v="24"/>
    <x v="24"/>
    <x v="7"/>
    <x v="1"/>
    <x v="2"/>
    <n v="3"/>
    <n v="7658"/>
    <n v="22974"/>
  </r>
  <r>
    <x v="25"/>
    <x v="25"/>
    <x v="21"/>
    <x v="0"/>
    <x v="3"/>
    <n v="7"/>
    <n v="43516"/>
    <n v="304612"/>
  </r>
  <r>
    <x v="26"/>
    <x v="26"/>
    <x v="22"/>
    <x v="1"/>
    <x v="3"/>
    <n v="4"/>
    <n v="7900"/>
    <n v="31600"/>
  </r>
  <r>
    <x v="27"/>
    <x v="27"/>
    <x v="23"/>
    <x v="5"/>
    <x v="1"/>
    <n v="9"/>
    <n v="43142"/>
    <n v="388278"/>
  </r>
  <r>
    <x v="28"/>
    <x v="28"/>
    <x v="24"/>
    <x v="4"/>
    <x v="1"/>
    <n v="3"/>
    <n v="15651"/>
    <n v="46953"/>
  </r>
  <r>
    <x v="29"/>
    <x v="29"/>
    <x v="1"/>
    <x v="2"/>
    <x v="0"/>
    <n v="5"/>
    <n v="1654"/>
    <n v="8270"/>
  </r>
  <r>
    <x v="30"/>
    <x v="30"/>
    <x v="5"/>
    <x v="5"/>
    <x v="3"/>
    <n v="3"/>
    <n v="4999"/>
    <n v="14997"/>
  </r>
  <r>
    <x v="31"/>
    <x v="31"/>
    <x v="25"/>
    <x v="4"/>
    <x v="3"/>
    <n v="7"/>
    <n v="6795"/>
    <n v="47565"/>
  </r>
  <r>
    <x v="32"/>
    <x v="32"/>
    <x v="8"/>
    <x v="3"/>
    <x v="0"/>
    <n v="5"/>
    <n v="12683"/>
    <n v="63415"/>
  </r>
  <r>
    <x v="33"/>
    <x v="33"/>
    <x v="9"/>
    <x v="2"/>
    <x v="2"/>
    <n v="9"/>
    <n v="29799"/>
    <n v="268191"/>
  </r>
  <r>
    <x v="34"/>
    <x v="22"/>
    <x v="26"/>
    <x v="4"/>
    <x v="0"/>
    <n v="7"/>
    <n v="13374"/>
    <n v="93618"/>
  </r>
  <r>
    <x v="35"/>
    <x v="34"/>
    <x v="2"/>
    <x v="1"/>
    <x v="3"/>
    <n v="2"/>
    <n v="33211"/>
    <n v="66422"/>
  </r>
  <r>
    <x v="36"/>
    <x v="35"/>
    <x v="27"/>
    <x v="1"/>
    <x v="2"/>
    <n v="4"/>
    <n v="6039"/>
    <n v="24156"/>
  </r>
  <r>
    <x v="37"/>
    <x v="36"/>
    <x v="6"/>
    <x v="4"/>
    <x v="0"/>
    <n v="9"/>
    <n v="42905"/>
    <n v="386145"/>
  </r>
  <r>
    <x v="38"/>
    <x v="37"/>
    <x v="28"/>
    <x v="3"/>
    <x v="0"/>
    <n v="2"/>
    <n v="48854"/>
    <n v="97708"/>
  </r>
  <r>
    <x v="39"/>
    <x v="38"/>
    <x v="29"/>
    <x v="2"/>
    <x v="3"/>
    <n v="9"/>
    <n v="3057"/>
    <n v="27513"/>
  </r>
  <r>
    <x v="40"/>
    <x v="39"/>
    <x v="30"/>
    <x v="1"/>
    <x v="1"/>
    <n v="5"/>
    <n v="38860"/>
    <n v="194300"/>
  </r>
  <r>
    <x v="41"/>
    <x v="40"/>
    <x v="31"/>
    <x v="6"/>
    <x v="3"/>
    <n v="2"/>
    <n v="16982"/>
    <n v="33964"/>
  </r>
  <r>
    <x v="42"/>
    <x v="41"/>
    <x v="19"/>
    <x v="5"/>
    <x v="0"/>
    <n v="4"/>
    <n v="2700"/>
    <n v="10800"/>
  </r>
  <r>
    <x v="43"/>
    <x v="42"/>
    <x v="32"/>
    <x v="5"/>
    <x v="3"/>
    <n v="7"/>
    <n v="47440"/>
    <n v="332080"/>
  </r>
  <r>
    <x v="44"/>
    <x v="43"/>
    <x v="23"/>
    <x v="2"/>
    <x v="3"/>
    <n v="8"/>
    <n v="3461"/>
    <n v="27688"/>
  </r>
  <r>
    <x v="45"/>
    <x v="44"/>
    <x v="33"/>
    <x v="5"/>
    <x v="1"/>
    <n v="3"/>
    <n v="47475"/>
    <n v="142425"/>
  </r>
  <r>
    <x v="46"/>
    <x v="45"/>
    <x v="34"/>
    <x v="0"/>
    <x v="2"/>
    <n v="1"/>
    <n v="21857"/>
    <n v="21857"/>
  </r>
  <r>
    <x v="47"/>
    <x v="46"/>
    <x v="35"/>
    <x v="0"/>
    <x v="1"/>
    <n v="4"/>
    <n v="12469"/>
    <n v="49876"/>
  </r>
  <r>
    <x v="48"/>
    <x v="47"/>
    <x v="36"/>
    <x v="0"/>
    <x v="1"/>
    <n v="2"/>
    <n v="3369"/>
    <n v="6738"/>
  </r>
  <r>
    <x v="49"/>
    <x v="48"/>
    <x v="25"/>
    <x v="1"/>
    <x v="0"/>
    <n v="8"/>
    <n v="47260"/>
    <n v="378080"/>
  </r>
  <r>
    <x v="50"/>
    <x v="49"/>
    <x v="17"/>
    <x v="0"/>
    <x v="3"/>
    <n v="4"/>
    <n v="29143"/>
    <n v="116572"/>
  </r>
  <r>
    <x v="51"/>
    <x v="50"/>
    <x v="37"/>
    <x v="3"/>
    <x v="0"/>
    <n v="2"/>
    <n v="25236"/>
    <n v="50472"/>
  </r>
  <r>
    <x v="52"/>
    <x v="51"/>
    <x v="38"/>
    <x v="5"/>
    <x v="2"/>
    <n v="6"/>
    <n v="38967"/>
    <n v="233802"/>
  </r>
  <r>
    <x v="53"/>
    <x v="8"/>
    <x v="39"/>
    <x v="2"/>
    <x v="2"/>
    <n v="6"/>
    <n v="23828"/>
    <n v="142968"/>
  </r>
  <r>
    <x v="54"/>
    <x v="52"/>
    <x v="40"/>
    <x v="2"/>
    <x v="1"/>
    <n v="4"/>
    <n v="26376"/>
    <n v="105504"/>
  </r>
  <r>
    <x v="55"/>
    <x v="53"/>
    <x v="22"/>
    <x v="3"/>
    <x v="3"/>
    <n v="6"/>
    <n v="21795"/>
    <n v="130770"/>
  </r>
  <r>
    <x v="56"/>
    <x v="54"/>
    <x v="41"/>
    <x v="5"/>
    <x v="2"/>
    <n v="2"/>
    <n v="4487"/>
    <n v="8974"/>
  </r>
  <r>
    <x v="57"/>
    <x v="55"/>
    <x v="38"/>
    <x v="0"/>
    <x v="0"/>
    <n v="2"/>
    <n v="22899"/>
    <n v="45798"/>
  </r>
  <r>
    <x v="58"/>
    <x v="56"/>
    <x v="31"/>
    <x v="1"/>
    <x v="1"/>
    <n v="4"/>
    <n v="46714"/>
    <n v="186856"/>
  </r>
  <r>
    <x v="59"/>
    <x v="18"/>
    <x v="42"/>
    <x v="3"/>
    <x v="3"/>
    <n v="8"/>
    <n v="34486"/>
    <n v="275888"/>
  </r>
  <r>
    <x v="60"/>
    <x v="57"/>
    <x v="43"/>
    <x v="4"/>
    <x v="0"/>
    <n v="7"/>
    <n v="21380"/>
    <n v="149660"/>
  </r>
  <r>
    <x v="61"/>
    <x v="58"/>
    <x v="44"/>
    <x v="4"/>
    <x v="2"/>
    <n v="9"/>
    <n v="5235"/>
    <n v="47115"/>
  </r>
  <r>
    <x v="62"/>
    <x v="59"/>
    <x v="45"/>
    <x v="3"/>
    <x v="0"/>
    <n v="8"/>
    <n v="44564"/>
    <n v="356512"/>
  </r>
  <r>
    <x v="63"/>
    <x v="60"/>
    <x v="39"/>
    <x v="3"/>
    <x v="0"/>
    <n v="5"/>
    <n v="5055"/>
    <n v="25275"/>
  </r>
  <r>
    <x v="64"/>
    <x v="61"/>
    <x v="46"/>
    <x v="6"/>
    <x v="0"/>
    <n v="2"/>
    <n v="42414"/>
    <n v="84828"/>
  </r>
  <r>
    <x v="65"/>
    <x v="62"/>
    <x v="47"/>
    <x v="1"/>
    <x v="3"/>
    <n v="5"/>
    <n v="41318"/>
    <n v="206590"/>
  </r>
  <r>
    <x v="66"/>
    <x v="63"/>
    <x v="2"/>
    <x v="2"/>
    <x v="0"/>
    <n v="8"/>
    <n v="46025"/>
    <n v="368200"/>
  </r>
  <r>
    <x v="67"/>
    <x v="64"/>
    <x v="48"/>
    <x v="5"/>
    <x v="3"/>
    <n v="9"/>
    <n v="20330"/>
    <n v="182970"/>
  </r>
  <r>
    <x v="68"/>
    <x v="65"/>
    <x v="49"/>
    <x v="1"/>
    <x v="3"/>
    <n v="9"/>
    <n v="17929"/>
    <n v="161361"/>
  </r>
  <r>
    <x v="69"/>
    <x v="66"/>
    <x v="18"/>
    <x v="6"/>
    <x v="2"/>
    <n v="1"/>
    <n v="7393"/>
    <n v="7393"/>
  </r>
  <r>
    <x v="70"/>
    <x v="67"/>
    <x v="50"/>
    <x v="3"/>
    <x v="2"/>
    <n v="9"/>
    <n v="14873"/>
    <n v="133857"/>
  </r>
  <r>
    <x v="71"/>
    <x v="68"/>
    <x v="27"/>
    <x v="4"/>
    <x v="3"/>
    <n v="7"/>
    <n v="47833"/>
    <n v="334831"/>
  </r>
  <r>
    <x v="72"/>
    <x v="69"/>
    <x v="51"/>
    <x v="1"/>
    <x v="1"/>
    <n v="9"/>
    <n v="3936"/>
    <n v="35424"/>
  </r>
  <r>
    <x v="73"/>
    <x v="70"/>
    <x v="52"/>
    <x v="4"/>
    <x v="1"/>
    <n v="8"/>
    <n v="9254"/>
    <n v="74032"/>
  </r>
  <r>
    <x v="74"/>
    <x v="71"/>
    <x v="53"/>
    <x v="6"/>
    <x v="1"/>
    <n v="1"/>
    <n v="11177"/>
    <n v="11177"/>
  </r>
  <r>
    <x v="75"/>
    <x v="72"/>
    <x v="16"/>
    <x v="1"/>
    <x v="1"/>
    <n v="8"/>
    <n v="6395"/>
    <n v="51160"/>
  </r>
  <r>
    <x v="76"/>
    <x v="73"/>
    <x v="54"/>
    <x v="2"/>
    <x v="3"/>
    <n v="8"/>
    <n v="20238"/>
    <n v="161904"/>
  </r>
  <r>
    <x v="77"/>
    <x v="74"/>
    <x v="55"/>
    <x v="0"/>
    <x v="3"/>
    <n v="3"/>
    <n v="31246"/>
    <n v="93738"/>
  </r>
  <r>
    <x v="78"/>
    <x v="75"/>
    <x v="31"/>
    <x v="4"/>
    <x v="2"/>
    <n v="1"/>
    <n v="49877"/>
    <n v="49877"/>
  </r>
  <r>
    <x v="79"/>
    <x v="76"/>
    <x v="56"/>
    <x v="6"/>
    <x v="2"/>
    <n v="8"/>
    <n v="48904"/>
    <n v="391232"/>
  </r>
  <r>
    <x v="80"/>
    <x v="77"/>
    <x v="41"/>
    <x v="0"/>
    <x v="3"/>
    <n v="3"/>
    <n v="32852"/>
    <n v="98556"/>
  </r>
  <r>
    <x v="81"/>
    <x v="78"/>
    <x v="54"/>
    <x v="4"/>
    <x v="3"/>
    <n v="3"/>
    <n v="40290"/>
    <n v="120870"/>
  </r>
  <r>
    <x v="82"/>
    <x v="79"/>
    <x v="57"/>
    <x v="3"/>
    <x v="3"/>
    <n v="1"/>
    <n v="42419"/>
    <n v="42419"/>
  </r>
  <r>
    <x v="83"/>
    <x v="80"/>
    <x v="28"/>
    <x v="2"/>
    <x v="3"/>
    <n v="5"/>
    <n v="6100"/>
    <n v="30500"/>
  </r>
  <r>
    <x v="84"/>
    <x v="4"/>
    <x v="58"/>
    <x v="6"/>
    <x v="1"/>
    <n v="7"/>
    <n v="29624"/>
    <n v="207368"/>
  </r>
  <r>
    <x v="85"/>
    <x v="81"/>
    <x v="34"/>
    <x v="5"/>
    <x v="3"/>
    <n v="9"/>
    <n v="28143"/>
    <n v="253287"/>
  </r>
  <r>
    <x v="86"/>
    <x v="82"/>
    <x v="56"/>
    <x v="2"/>
    <x v="3"/>
    <n v="7"/>
    <n v="41264"/>
    <n v="288848"/>
  </r>
  <r>
    <x v="87"/>
    <x v="83"/>
    <x v="50"/>
    <x v="6"/>
    <x v="1"/>
    <n v="9"/>
    <n v="9507"/>
    <n v="85563"/>
  </r>
  <r>
    <x v="88"/>
    <x v="84"/>
    <x v="26"/>
    <x v="3"/>
    <x v="3"/>
    <n v="8"/>
    <n v="46214"/>
    <n v="369712"/>
  </r>
  <r>
    <x v="89"/>
    <x v="85"/>
    <x v="59"/>
    <x v="6"/>
    <x v="1"/>
    <n v="2"/>
    <n v="37910"/>
    <n v="75820"/>
  </r>
  <r>
    <x v="90"/>
    <x v="86"/>
    <x v="25"/>
    <x v="0"/>
    <x v="2"/>
    <n v="1"/>
    <n v="44580"/>
    <n v="44580"/>
  </r>
  <r>
    <x v="91"/>
    <x v="87"/>
    <x v="24"/>
    <x v="0"/>
    <x v="1"/>
    <n v="7"/>
    <n v="40947"/>
    <n v="286629"/>
  </r>
  <r>
    <x v="92"/>
    <x v="88"/>
    <x v="36"/>
    <x v="5"/>
    <x v="2"/>
    <n v="7"/>
    <n v="8708"/>
    <n v="60956"/>
  </r>
  <r>
    <x v="93"/>
    <x v="89"/>
    <x v="60"/>
    <x v="6"/>
    <x v="0"/>
    <n v="8"/>
    <n v="19089"/>
    <n v="152712"/>
  </r>
  <r>
    <x v="94"/>
    <x v="90"/>
    <x v="36"/>
    <x v="4"/>
    <x v="3"/>
    <n v="5"/>
    <n v="43984"/>
    <n v="219920"/>
  </r>
  <r>
    <x v="95"/>
    <x v="91"/>
    <x v="38"/>
    <x v="2"/>
    <x v="2"/>
    <n v="3"/>
    <n v="17953"/>
    <n v="53859"/>
  </r>
  <r>
    <x v="96"/>
    <x v="92"/>
    <x v="33"/>
    <x v="6"/>
    <x v="3"/>
    <n v="8"/>
    <n v="36712"/>
    <n v="293696"/>
  </r>
  <r>
    <x v="97"/>
    <x v="93"/>
    <x v="61"/>
    <x v="4"/>
    <x v="0"/>
    <n v="6"/>
    <n v="44025"/>
    <n v="264150"/>
  </r>
  <r>
    <x v="98"/>
    <x v="94"/>
    <x v="51"/>
    <x v="2"/>
    <x v="2"/>
    <n v="3"/>
    <n v="47702"/>
    <n v="143106"/>
  </r>
  <r>
    <x v="99"/>
    <x v="95"/>
    <x v="27"/>
    <x v="0"/>
    <x v="2"/>
    <n v="1"/>
    <n v="33135"/>
    <n v="33135"/>
  </r>
  <r>
    <x v="100"/>
    <x v="96"/>
    <x v="62"/>
    <x v="5"/>
    <x v="0"/>
    <n v="3"/>
    <n v="34328"/>
    <n v="102984"/>
  </r>
  <r>
    <x v="101"/>
    <x v="97"/>
    <x v="63"/>
    <x v="0"/>
    <x v="0"/>
    <n v="5"/>
    <n v="19211"/>
    <n v="96055"/>
  </r>
  <r>
    <x v="102"/>
    <x v="98"/>
    <x v="3"/>
    <x v="0"/>
    <x v="3"/>
    <n v="3"/>
    <n v="3920"/>
    <n v="11760"/>
  </r>
  <r>
    <x v="103"/>
    <x v="3"/>
    <x v="41"/>
    <x v="6"/>
    <x v="3"/>
    <n v="1"/>
    <n v="31716"/>
    <n v="31716"/>
  </r>
  <r>
    <x v="104"/>
    <x v="99"/>
    <x v="64"/>
    <x v="0"/>
    <x v="3"/>
    <n v="5"/>
    <n v="801"/>
    <n v="4005"/>
  </r>
  <r>
    <x v="105"/>
    <x v="100"/>
    <x v="31"/>
    <x v="4"/>
    <x v="1"/>
    <n v="7"/>
    <n v="45736"/>
    <n v="320152"/>
  </r>
  <r>
    <x v="106"/>
    <x v="101"/>
    <x v="60"/>
    <x v="3"/>
    <x v="2"/>
    <n v="7"/>
    <n v="1199"/>
    <n v="8393"/>
  </r>
  <r>
    <x v="107"/>
    <x v="102"/>
    <x v="65"/>
    <x v="3"/>
    <x v="0"/>
    <n v="9"/>
    <n v="690"/>
    <n v="6210"/>
  </r>
  <r>
    <x v="108"/>
    <x v="103"/>
    <x v="62"/>
    <x v="5"/>
    <x v="1"/>
    <n v="3"/>
    <n v="10992"/>
    <n v="32976"/>
  </r>
  <r>
    <x v="109"/>
    <x v="104"/>
    <x v="51"/>
    <x v="6"/>
    <x v="1"/>
    <n v="7"/>
    <n v="36243"/>
    <n v="253701"/>
  </r>
  <r>
    <x v="110"/>
    <x v="105"/>
    <x v="38"/>
    <x v="2"/>
    <x v="2"/>
    <n v="1"/>
    <n v="6602"/>
    <n v="6602"/>
  </r>
  <r>
    <x v="111"/>
    <x v="106"/>
    <x v="66"/>
    <x v="2"/>
    <x v="2"/>
    <n v="4"/>
    <n v="20278"/>
    <n v="81112"/>
  </r>
  <r>
    <x v="112"/>
    <x v="107"/>
    <x v="21"/>
    <x v="0"/>
    <x v="2"/>
    <n v="4"/>
    <n v="27141"/>
    <n v="108564"/>
  </r>
  <r>
    <x v="113"/>
    <x v="108"/>
    <x v="67"/>
    <x v="3"/>
    <x v="1"/>
    <n v="5"/>
    <n v="35084"/>
    <n v="175420"/>
  </r>
  <r>
    <x v="114"/>
    <x v="46"/>
    <x v="37"/>
    <x v="1"/>
    <x v="0"/>
    <n v="7"/>
    <n v="33245"/>
    <n v="232715"/>
  </r>
  <r>
    <x v="115"/>
    <x v="109"/>
    <x v="17"/>
    <x v="3"/>
    <x v="3"/>
    <n v="7"/>
    <n v="23593"/>
    <n v="165151"/>
  </r>
  <r>
    <x v="116"/>
    <x v="110"/>
    <x v="2"/>
    <x v="1"/>
    <x v="2"/>
    <n v="4"/>
    <n v="1069"/>
    <n v="4276"/>
  </r>
  <r>
    <x v="117"/>
    <x v="104"/>
    <x v="68"/>
    <x v="6"/>
    <x v="3"/>
    <n v="7"/>
    <n v="38710"/>
    <n v="270970"/>
  </r>
  <r>
    <x v="118"/>
    <x v="111"/>
    <x v="55"/>
    <x v="5"/>
    <x v="3"/>
    <n v="3"/>
    <n v="35163"/>
    <n v="105489"/>
  </r>
  <r>
    <x v="119"/>
    <x v="112"/>
    <x v="25"/>
    <x v="1"/>
    <x v="1"/>
    <n v="6"/>
    <n v="37131"/>
    <n v="222786"/>
  </r>
  <r>
    <x v="120"/>
    <x v="25"/>
    <x v="69"/>
    <x v="0"/>
    <x v="3"/>
    <n v="2"/>
    <n v="46181"/>
    <n v="92362"/>
  </r>
  <r>
    <x v="121"/>
    <x v="113"/>
    <x v="1"/>
    <x v="6"/>
    <x v="3"/>
    <n v="9"/>
    <n v="7955"/>
    <n v="71595"/>
  </r>
  <r>
    <x v="122"/>
    <x v="114"/>
    <x v="14"/>
    <x v="3"/>
    <x v="0"/>
    <n v="5"/>
    <n v="4514"/>
    <n v="22570"/>
  </r>
  <r>
    <x v="123"/>
    <x v="115"/>
    <x v="70"/>
    <x v="5"/>
    <x v="0"/>
    <n v="6"/>
    <n v="11593"/>
    <n v="69558"/>
  </r>
  <r>
    <x v="124"/>
    <x v="116"/>
    <x v="53"/>
    <x v="3"/>
    <x v="0"/>
    <n v="4"/>
    <n v="18570"/>
    <n v="74280"/>
  </r>
  <r>
    <x v="125"/>
    <x v="117"/>
    <x v="54"/>
    <x v="3"/>
    <x v="3"/>
    <n v="7"/>
    <n v="36277"/>
    <n v="253939"/>
  </r>
  <r>
    <x v="126"/>
    <x v="118"/>
    <x v="66"/>
    <x v="3"/>
    <x v="2"/>
    <n v="9"/>
    <n v="17038"/>
    <n v="153342"/>
  </r>
  <r>
    <x v="127"/>
    <x v="119"/>
    <x v="13"/>
    <x v="5"/>
    <x v="3"/>
    <n v="7"/>
    <n v="11229"/>
    <n v="78603"/>
  </r>
  <r>
    <x v="128"/>
    <x v="120"/>
    <x v="50"/>
    <x v="1"/>
    <x v="0"/>
    <n v="1"/>
    <n v="34677"/>
    <n v="34677"/>
  </r>
  <r>
    <x v="129"/>
    <x v="121"/>
    <x v="38"/>
    <x v="1"/>
    <x v="3"/>
    <n v="1"/>
    <n v="45517"/>
    <n v="45517"/>
  </r>
  <r>
    <x v="130"/>
    <x v="122"/>
    <x v="71"/>
    <x v="5"/>
    <x v="3"/>
    <n v="9"/>
    <n v="1284"/>
    <n v="11556"/>
  </r>
  <r>
    <x v="131"/>
    <x v="123"/>
    <x v="4"/>
    <x v="5"/>
    <x v="2"/>
    <n v="9"/>
    <n v="28251"/>
    <n v="254259"/>
  </r>
  <r>
    <x v="132"/>
    <x v="124"/>
    <x v="43"/>
    <x v="4"/>
    <x v="1"/>
    <n v="4"/>
    <n v="41364"/>
    <n v="165456"/>
  </r>
  <r>
    <x v="133"/>
    <x v="88"/>
    <x v="72"/>
    <x v="5"/>
    <x v="3"/>
    <n v="9"/>
    <n v="40828"/>
    <n v="367452"/>
  </r>
  <r>
    <x v="134"/>
    <x v="125"/>
    <x v="66"/>
    <x v="2"/>
    <x v="1"/>
    <n v="3"/>
    <n v="13033"/>
    <n v="39099"/>
  </r>
  <r>
    <x v="135"/>
    <x v="126"/>
    <x v="18"/>
    <x v="1"/>
    <x v="1"/>
    <n v="7"/>
    <n v="40611"/>
    <n v="284277"/>
  </r>
  <r>
    <x v="136"/>
    <x v="127"/>
    <x v="73"/>
    <x v="0"/>
    <x v="2"/>
    <n v="6"/>
    <n v="40474"/>
    <n v="242844"/>
  </r>
  <r>
    <x v="137"/>
    <x v="128"/>
    <x v="9"/>
    <x v="5"/>
    <x v="2"/>
    <n v="8"/>
    <n v="6301"/>
    <n v="50408"/>
  </r>
  <r>
    <x v="138"/>
    <x v="129"/>
    <x v="9"/>
    <x v="1"/>
    <x v="1"/>
    <n v="9"/>
    <n v="19690"/>
    <n v="177210"/>
  </r>
  <r>
    <x v="139"/>
    <x v="130"/>
    <x v="74"/>
    <x v="1"/>
    <x v="1"/>
    <n v="5"/>
    <n v="39254"/>
    <n v="196270"/>
  </r>
  <r>
    <x v="140"/>
    <x v="131"/>
    <x v="7"/>
    <x v="5"/>
    <x v="3"/>
    <n v="1"/>
    <n v="30092"/>
    <n v="30092"/>
  </r>
  <r>
    <x v="141"/>
    <x v="132"/>
    <x v="43"/>
    <x v="1"/>
    <x v="0"/>
    <n v="3"/>
    <n v="11147"/>
    <n v="33441"/>
  </r>
  <r>
    <x v="142"/>
    <x v="133"/>
    <x v="25"/>
    <x v="3"/>
    <x v="1"/>
    <n v="8"/>
    <n v="9216"/>
    <n v="73728"/>
  </r>
  <r>
    <x v="143"/>
    <x v="100"/>
    <x v="75"/>
    <x v="0"/>
    <x v="0"/>
    <n v="6"/>
    <n v="23855"/>
    <n v="143130"/>
  </r>
  <r>
    <x v="144"/>
    <x v="134"/>
    <x v="76"/>
    <x v="4"/>
    <x v="3"/>
    <n v="8"/>
    <n v="22509"/>
    <n v="180072"/>
  </r>
  <r>
    <x v="145"/>
    <x v="84"/>
    <x v="52"/>
    <x v="4"/>
    <x v="0"/>
    <n v="9"/>
    <n v="24876"/>
    <n v="223884"/>
  </r>
  <r>
    <x v="146"/>
    <x v="135"/>
    <x v="12"/>
    <x v="1"/>
    <x v="2"/>
    <n v="4"/>
    <n v="45591"/>
    <n v="182364"/>
  </r>
  <r>
    <x v="147"/>
    <x v="136"/>
    <x v="16"/>
    <x v="1"/>
    <x v="1"/>
    <n v="1"/>
    <n v="5280"/>
    <n v="5280"/>
  </r>
  <r>
    <x v="148"/>
    <x v="137"/>
    <x v="63"/>
    <x v="2"/>
    <x v="2"/>
    <n v="1"/>
    <n v="2868"/>
    <n v="2868"/>
  </r>
  <r>
    <x v="149"/>
    <x v="138"/>
    <x v="68"/>
    <x v="5"/>
    <x v="3"/>
    <n v="4"/>
    <n v="12539"/>
    <n v="50156"/>
  </r>
  <r>
    <x v="150"/>
    <x v="139"/>
    <x v="73"/>
    <x v="3"/>
    <x v="0"/>
    <n v="7"/>
    <n v="7155"/>
    <n v="50085"/>
  </r>
  <r>
    <x v="151"/>
    <x v="140"/>
    <x v="77"/>
    <x v="0"/>
    <x v="2"/>
    <n v="2"/>
    <n v="41441"/>
    <n v="82882"/>
  </r>
  <r>
    <x v="152"/>
    <x v="141"/>
    <x v="22"/>
    <x v="2"/>
    <x v="1"/>
    <n v="3"/>
    <n v="4995"/>
    <n v="14985"/>
  </r>
  <r>
    <x v="153"/>
    <x v="142"/>
    <x v="78"/>
    <x v="4"/>
    <x v="3"/>
    <n v="1"/>
    <n v="11393"/>
    <n v="11393"/>
  </r>
  <r>
    <x v="154"/>
    <x v="143"/>
    <x v="23"/>
    <x v="2"/>
    <x v="0"/>
    <n v="5"/>
    <n v="26047"/>
    <n v="130235"/>
  </r>
  <r>
    <x v="155"/>
    <x v="144"/>
    <x v="27"/>
    <x v="0"/>
    <x v="2"/>
    <n v="1"/>
    <n v="22886"/>
    <n v="22886"/>
  </r>
  <r>
    <x v="156"/>
    <x v="47"/>
    <x v="79"/>
    <x v="5"/>
    <x v="1"/>
    <n v="8"/>
    <n v="13903"/>
    <n v="111224"/>
  </r>
  <r>
    <x v="157"/>
    <x v="145"/>
    <x v="73"/>
    <x v="3"/>
    <x v="2"/>
    <n v="1"/>
    <n v="32597"/>
    <n v="32597"/>
  </r>
  <r>
    <x v="158"/>
    <x v="146"/>
    <x v="18"/>
    <x v="4"/>
    <x v="0"/>
    <n v="1"/>
    <n v="13621"/>
    <n v="13621"/>
  </r>
  <r>
    <x v="159"/>
    <x v="147"/>
    <x v="80"/>
    <x v="2"/>
    <x v="0"/>
    <n v="2"/>
    <n v="11466"/>
    <n v="22932"/>
  </r>
  <r>
    <x v="160"/>
    <x v="148"/>
    <x v="26"/>
    <x v="4"/>
    <x v="0"/>
    <n v="2"/>
    <n v="34121"/>
    <n v="68242"/>
  </r>
  <r>
    <x v="161"/>
    <x v="87"/>
    <x v="81"/>
    <x v="2"/>
    <x v="2"/>
    <n v="6"/>
    <n v="28812"/>
    <n v="172872"/>
  </r>
  <r>
    <x v="162"/>
    <x v="149"/>
    <x v="27"/>
    <x v="3"/>
    <x v="1"/>
    <n v="7"/>
    <n v="23177"/>
    <n v="162239"/>
  </r>
  <r>
    <x v="163"/>
    <x v="25"/>
    <x v="25"/>
    <x v="6"/>
    <x v="3"/>
    <n v="5"/>
    <n v="31789"/>
    <n v="158945"/>
  </r>
  <r>
    <x v="164"/>
    <x v="45"/>
    <x v="82"/>
    <x v="6"/>
    <x v="0"/>
    <n v="1"/>
    <n v="31524"/>
    <n v="31524"/>
  </r>
  <r>
    <x v="165"/>
    <x v="150"/>
    <x v="83"/>
    <x v="2"/>
    <x v="0"/>
    <n v="1"/>
    <n v="43175"/>
    <n v="43175"/>
  </r>
  <r>
    <x v="166"/>
    <x v="151"/>
    <x v="84"/>
    <x v="5"/>
    <x v="3"/>
    <n v="3"/>
    <n v="5277"/>
    <n v="15831"/>
  </r>
  <r>
    <x v="167"/>
    <x v="152"/>
    <x v="85"/>
    <x v="3"/>
    <x v="1"/>
    <n v="2"/>
    <n v="30249"/>
    <n v="60498"/>
  </r>
  <r>
    <x v="168"/>
    <x v="153"/>
    <x v="29"/>
    <x v="5"/>
    <x v="2"/>
    <n v="5"/>
    <n v="15838"/>
    <n v="79190"/>
  </r>
  <r>
    <x v="169"/>
    <x v="154"/>
    <x v="86"/>
    <x v="4"/>
    <x v="1"/>
    <n v="6"/>
    <n v="2991"/>
    <n v="17946"/>
  </r>
  <r>
    <x v="170"/>
    <x v="155"/>
    <x v="61"/>
    <x v="1"/>
    <x v="2"/>
    <n v="7"/>
    <n v="27736"/>
    <n v="194152"/>
  </r>
  <r>
    <x v="171"/>
    <x v="156"/>
    <x v="56"/>
    <x v="2"/>
    <x v="2"/>
    <n v="4"/>
    <n v="48596"/>
    <n v="194384"/>
  </r>
  <r>
    <x v="172"/>
    <x v="157"/>
    <x v="87"/>
    <x v="2"/>
    <x v="1"/>
    <n v="7"/>
    <n v="15099"/>
    <n v="105693"/>
  </r>
  <r>
    <x v="173"/>
    <x v="158"/>
    <x v="88"/>
    <x v="5"/>
    <x v="3"/>
    <n v="8"/>
    <n v="20008"/>
    <n v="160064"/>
  </r>
  <r>
    <x v="174"/>
    <x v="159"/>
    <x v="51"/>
    <x v="1"/>
    <x v="1"/>
    <n v="1"/>
    <n v="3551"/>
    <n v="3551"/>
  </r>
  <r>
    <x v="175"/>
    <x v="160"/>
    <x v="89"/>
    <x v="3"/>
    <x v="0"/>
    <n v="6"/>
    <n v="49247"/>
    <n v="295482"/>
  </r>
  <r>
    <x v="176"/>
    <x v="161"/>
    <x v="24"/>
    <x v="5"/>
    <x v="1"/>
    <n v="8"/>
    <n v="49656"/>
    <n v="397248"/>
  </r>
  <r>
    <x v="177"/>
    <x v="162"/>
    <x v="23"/>
    <x v="0"/>
    <x v="2"/>
    <n v="5"/>
    <n v="22106"/>
    <n v="110530"/>
  </r>
  <r>
    <x v="178"/>
    <x v="163"/>
    <x v="0"/>
    <x v="4"/>
    <x v="2"/>
    <n v="4"/>
    <n v="22199"/>
    <n v="88796"/>
  </r>
  <r>
    <x v="179"/>
    <x v="157"/>
    <x v="5"/>
    <x v="5"/>
    <x v="2"/>
    <n v="2"/>
    <n v="1376"/>
    <n v="2752"/>
  </r>
  <r>
    <x v="180"/>
    <x v="164"/>
    <x v="81"/>
    <x v="2"/>
    <x v="3"/>
    <n v="6"/>
    <n v="32593"/>
    <n v="195558"/>
  </r>
  <r>
    <x v="181"/>
    <x v="165"/>
    <x v="1"/>
    <x v="0"/>
    <x v="3"/>
    <n v="6"/>
    <n v="4642"/>
    <n v="27852"/>
  </r>
  <r>
    <x v="182"/>
    <x v="166"/>
    <x v="65"/>
    <x v="2"/>
    <x v="0"/>
    <n v="1"/>
    <n v="15702"/>
    <n v="15702"/>
  </r>
  <r>
    <x v="183"/>
    <x v="167"/>
    <x v="38"/>
    <x v="6"/>
    <x v="1"/>
    <n v="9"/>
    <n v="40234"/>
    <n v="362106"/>
  </r>
  <r>
    <x v="184"/>
    <x v="29"/>
    <x v="13"/>
    <x v="1"/>
    <x v="2"/>
    <n v="6"/>
    <n v="7579"/>
    <n v="45474"/>
  </r>
  <r>
    <x v="185"/>
    <x v="158"/>
    <x v="71"/>
    <x v="2"/>
    <x v="0"/>
    <n v="3"/>
    <n v="8487"/>
    <n v="25461"/>
  </r>
  <r>
    <x v="186"/>
    <x v="168"/>
    <x v="66"/>
    <x v="1"/>
    <x v="3"/>
    <n v="4"/>
    <n v="40067"/>
    <n v="160268"/>
  </r>
  <r>
    <x v="187"/>
    <x v="158"/>
    <x v="81"/>
    <x v="3"/>
    <x v="1"/>
    <n v="4"/>
    <n v="29440"/>
    <n v="117760"/>
  </r>
  <r>
    <x v="188"/>
    <x v="156"/>
    <x v="79"/>
    <x v="0"/>
    <x v="2"/>
    <n v="3"/>
    <n v="37733"/>
    <n v="113199"/>
  </r>
  <r>
    <x v="189"/>
    <x v="169"/>
    <x v="83"/>
    <x v="0"/>
    <x v="1"/>
    <n v="3"/>
    <n v="17519"/>
    <n v="52557"/>
  </r>
  <r>
    <x v="190"/>
    <x v="170"/>
    <x v="81"/>
    <x v="6"/>
    <x v="3"/>
    <n v="3"/>
    <n v="46685"/>
    <n v="140055"/>
  </r>
  <r>
    <x v="191"/>
    <x v="171"/>
    <x v="54"/>
    <x v="1"/>
    <x v="2"/>
    <n v="4"/>
    <n v="18577"/>
    <n v="74308"/>
  </r>
  <r>
    <x v="192"/>
    <x v="153"/>
    <x v="14"/>
    <x v="2"/>
    <x v="2"/>
    <n v="7"/>
    <n v="26758"/>
    <n v="187306"/>
  </r>
  <r>
    <x v="193"/>
    <x v="159"/>
    <x v="17"/>
    <x v="4"/>
    <x v="3"/>
    <n v="4"/>
    <n v="21636"/>
    <n v="86544"/>
  </r>
  <r>
    <x v="194"/>
    <x v="172"/>
    <x v="79"/>
    <x v="2"/>
    <x v="0"/>
    <n v="9"/>
    <n v="8811"/>
    <n v="79299"/>
  </r>
  <r>
    <x v="195"/>
    <x v="173"/>
    <x v="16"/>
    <x v="2"/>
    <x v="2"/>
    <n v="1"/>
    <n v="17714"/>
    <n v="17714"/>
  </r>
  <r>
    <x v="196"/>
    <x v="174"/>
    <x v="4"/>
    <x v="0"/>
    <x v="3"/>
    <n v="8"/>
    <n v="14598"/>
    <n v="116784"/>
  </r>
  <r>
    <x v="197"/>
    <x v="175"/>
    <x v="54"/>
    <x v="2"/>
    <x v="3"/>
    <n v="7"/>
    <n v="28751"/>
    <n v="201257"/>
  </r>
  <r>
    <x v="198"/>
    <x v="176"/>
    <x v="90"/>
    <x v="1"/>
    <x v="3"/>
    <n v="2"/>
    <n v="38445"/>
    <n v="76890"/>
  </r>
  <r>
    <x v="199"/>
    <x v="177"/>
    <x v="68"/>
    <x v="0"/>
    <x v="1"/>
    <n v="8"/>
    <n v="47530"/>
    <n v="380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G62:H154" firstHeaderRow="1" firstDataRow="1" firstDataCol="1"/>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axis="axisRow" showAll="0">
      <items count="92">
        <item x="3"/>
        <item x="32"/>
        <item x="46"/>
        <item x="80"/>
        <item x="31"/>
        <item x="22"/>
        <item x="61"/>
        <item x="30"/>
        <item x="29"/>
        <item x="45"/>
        <item x="14"/>
        <item x="73"/>
        <item x="85"/>
        <item x="17"/>
        <item x="68"/>
        <item x="65"/>
        <item x="24"/>
        <item x="78"/>
        <item x="48"/>
        <item x="87"/>
        <item x="33"/>
        <item x="16"/>
        <item x="52"/>
        <item x="88"/>
        <item x="83"/>
        <item x="6"/>
        <item x="10"/>
        <item x="40"/>
        <item x="55"/>
        <item x="9"/>
        <item x="25"/>
        <item x="27"/>
        <item x="79"/>
        <item x="51"/>
        <item x="54"/>
        <item x="64"/>
        <item x="67"/>
        <item x="36"/>
        <item x="82"/>
        <item x="60"/>
        <item x="12"/>
        <item x="23"/>
        <item x="74"/>
        <item x="49"/>
        <item x="58"/>
        <item x="63"/>
        <item x="75"/>
        <item x="21"/>
        <item x="50"/>
        <item x="57"/>
        <item x="5"/>
        <item x="69"/>
        <item x="19"/>
        <item x="70"/>
        <item x="13"/>
        <item x="28"/>
        <item x="89"/>
        <item x="7"/>
        <item x="43"/>
        <item x="39"/>
        <item x="35"/>
        <item x="42"/>
        <item x="18"/>
        <item x="26"/>
        <item x="41"/>
        <item x="81"/>
        <item x="8"/>
        <item x="20"/>
        <item x="62"/>
        <item x="4"/>
        <item x="44"/>
        <item x="59"/>
        <item x="11"/>
        <item x="90"/>
        <item x="37"/>
        <item x="47"/>
        <item x="56"/>
        <item x="15"/>
        <item x="38"/>
        <item x="0"/>
        <item x="77"/>
        <item x="71"/>
        <item x="86"/>
        <item x="34"/>
        <item x="1"/>
        <item x="72"/>
        <item x="66"/>
        <item x="76"/>
        <item x="53"/>
        <item x="2"/>
        <item x="84"/>
        <item t="default"/>
      </items>
    </pivotField>
    <pivotField showAll="0" sortType="ascending">
      <items count="8">
        <item x="4"/>
        <item x="5"/>
        <item x="1"/>
        <item x="3"/>
        <item x="0"/>
        <item x="2"/>
        <item x="6"/>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dataField="1" showAll="0"/>
    <pivotField showAll="0" defaultSubtotal="0">
      <items count="4">
        <item x="0"/>
        <item x="1"/>
        <item x="2"/>
        <item x="3"/>
      </items>
    </pivotField>
  </pivotFields>
  <rowFields count="1">
    <field x="2"/>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Total Amount" fld="7" baseField="2" baseItem="0" numFmtId="166"/>
  </dataFields>
  <formats count="2">
    <format dxfId="157">
      <pivotArea outline="0" collapsedLevelsAreSubtotals="1" fieldPosition="0">
        <references count="1">
          <reference field="4294967294" count="1" selected="0">
            <x v="0"/>
          </reference>
        </references>
      </pivotArea>
    </format>
    <format dxfId="15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dateBetween" evalOrder="-1" id="30" name="Order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2">
  <location ref="G50:H58" firstHeaderRow="1" firstDataRow="1" firstDataCol="1"/>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items count="92">
        <item x="3"/>
        <item x="32"/>
        <item x="46"/>
        <item x="80"/>
        <item x="31"/>
        <item x="22"/>
        <item x="61"/>
        <item x="30"/>
        <item x="29"/>
        <item x="45"/>
        <item x="14"/>
        <item x="73"/>
        <item x="85"/>
        <item x="17"/>
        <item x="68"/>
        <item x="65"/>
        <item x="24"/>
        <item x="78"/>
        <item x="48"/>
        <item x="87"/>
        <item x="33"/>
        <item x="16"/>
        <item x="52"/>
        <item x="88"/>
        <item x="83"/>
        <item x="6"/>
        <item x="10"/>
        <item x="40"/>
        <item x="55"/>
        <item x="9"/>
        <item x="25"/>
        <item x="27"/>
        <item x="79"/>
        <item x="51"/>
        <item x="54"/>
        <item x="64"/>
        <item x="67"/>
        <item x="36"/>
        <item x="82"/>
        <item x="60"/>
        <item x="12"/>
        <item x="23"/>
        <item x="74"/>
        <item x="49"/>
        <item x="58"/>
        <item x="63"/>
        <item x="75"/>
        <item x="21"/>
        <item x="50"/>
        <item x="57"/>
        <item x="5"/>
        <item x="69"/>
        <item x="19"/>
        <item x="70"/>
        <item x="13"/>
        <item x="28"/>
        <item x="89"/>
        <item x="7"/>
        <item x="43"/>
        <item x="39"/>
        <item x="35"/>
        <item x="42"/>
        <item x="18"/>
        <item x="26"/>
        <item x="41"/>
        <item x="81"/>
        <item x="8"/>
        <item x="20"/>
        <item x="62"/>
        <item x="4"/>
        <item x="44"/>
        <item x="59"/>
        <item x="11"/>
        <item x="90"/>
        <item x="37"/>
        <item x="47"/>
        <item x="56"/>
        <item x="15"/>
        <item x="38"/>
        <item x="0"/>
        <item x="77"/>
        <item x="71"/>
        <item x="86"/>
        <item x="34"/>
        <item x="1"/>
        <item x="72"/>
        <item x="66"/>
        <item x="76"/>
        <item x="53"/>
        <item x="2"/>
        <item x="84"/>
        <item t="default"/>
      </items>
    </pivotField>
    <pivotField axis="axisRow" showAll="0" sortType="ascending">
      <items count="8">
        <item x="4"/>
        <item x="5"/>
        <item x="1"/>
        <item x="3"/>
        <item x="0"/>
        <item x="2"/>
        <item x="6"/>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dataField="1" showAll="0"/>
    <pivotField showAll="0" defaultSubtotal="0">
      <items count="4">
        <item x="0"/>
        <item x="1"/>
        <item x="2"/>
        <item x="3"/>
      </items>
    </pivotField>
  </pivotFields>
  <rowFields count="1">
    <field x="3"/>
  </rowFields>
  <rowItems count="8">
    <i>
      <x v="6"/>
    </i>
    <i>
      <x v="4"/>
    </i>
    <i>
      <x/>
    </i>
    <i>
      <x v="2"/>
    </i>
    <i>
      <x v="5"/>
    </i>
    <i>
      <x v="3"/>
    </i>
    <i>
      <x v="1"/>
    </i>
    <i t="grand">
      <x/>
    </i>
  </rowItems>
  <colItems count="1">
    <i/>
  </colItems>
  <dataFields count="1">
    <dataField name="Total Amount" fld="7" baseField="2" baseItem="0" numFmtId="166"/>
  </dataFields>
  <formats count="2">
    <format dxfId="155">
      <pivotArea outline="0" collapsedLevelsAreSubtotals="1" fieldPosition="0">
        <references count="1">
          <reference field="4294967294" count="1" selected="0">
            <x v="0"/>
          </reference>
        </references>
      </pivotArea>
    </format>
    <format dxfId="154">
      <pivotArea dataOnly="0" labelOnly="1" outline="0" fieldPosition="0">
        <references count="1">
          <reference field="4294967294" count="1">
            <x v="0"/>
          </reference>
        </references>
      </pivotArea>
    </format>
  </formats>
  <chartFormats count="8">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3" count="1" selected="0">
            <x v="6"/>
          </reference>
        </references>
      </pivotArea>
    </chartFormat>
    <chartFormat chart="20" format="18">
      <pivotArea type="data" outline="0" fieldPosition="0">
        <references count="2">
          <reference field="4294967294" count="1" selected="0">
            <x v="0"/>
          </reference>
          <reference field="3" count="1" selected="0">
            <x v="4"/>
          </reference>
        </references>
      </pivotArea>
    </chartFormat>
    <chartFormat chart="20" format="19">
      <pivotArea type="data" outline="0" fieldPosition="0">
        <references count="2">
          <reference field="4294967294" count="1" selected="0">
            <x v="0"/>
          </reference>
          <reference field="3" count="1" selected="0">
            <x v="0"/>
          </reference>
        </references>
      </pivotArea>
    </chartFormat>
    <chartFormat chart="20" format="20">
      <pivotArea type="data" outline="0" fieldPosition="0">
        <references count="2">
          <reference field="4294967294" count="1" selected="0">
            <x v="0"/>
          </reference>
          <reference field="3" count="1" selected="0">
            <x v="2"/>
          </reference>
        </references>
      </pivotArea>
    </chartFormat>
    <chartFormat chart="20" format="21">
      <pivotArea type="data" outline="0" fieldPosition="0">
        <references count="2">
          <reference field="4294967294" count="1" selected="0">
            <x v="0"/>
          </reference>
          <reference field="3" count="1" selected="0">
            <x v="5"/>
          </reference>
        </references>
      </pivotArea>
    </chartFormat>
    <chartFormat chart="20" format="22">
      <pivotArea type="data" outline="0" fieldPosition="0">
        <references count="2">
          <reference field="4294967294" count="1" selected="0">
            <x v="0"/>
          </reference>
          <reference field="3" count="1" selected="0">
            <x v="3"/>
          </reference>
        </references>
      </pivotArea>
    </chartFormat>
    <chartFormat chart="20" format="2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30" name="Order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6">
  <location ref="G41:H46" firstHeaderRow="1" firstDataRow="1" firstDataCol="1"/>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items count="92">
        <item x="3"/>
        <item x="32"/>
        <item x="46"/>
        <item x="80"/>
        <item x="31"/>
        <item x="22"/>
        <item x="61"/>
        <item x="30"/>
        <item x="29"/>
        <item x="45"/>
        <item x="14"/>
        <item x="73"/>
        <item x="85"/>
        <item x="17"/>
        <item x="68"/>
        <item x="65"/>
        <item x="24"/>
        <item x="78"/>
        <item x="48"/>
        <item x="87"/>
        <item x="33"/>
        <item x="16"/>
        <item x="52"/>
        <item x="88"/>
        <item x="83"/>
        <item x="6"/>
        <item x="10"/>
        <item x="40"/>
        <item x="55"/>
        <item x="9"/>
        <item x="25"/>
        <item x="27"/>
        <item x="79"/>
        <item x="51"/>
        <item x="54"/>
        <item x="64"/>
        <item x="67"/>
        <item x="36"/>
        <item x="82"/>
        <item x="60"/>
        <item x="12"/>
        <item x="23"/>
        <item x="74"/>
        <item x="49"/>
        <item x="58"/>
        <item x="63"/>
        <item x="75"/>
        <item x="21"/>
        <item x="50"/>
        <item x="57"/>
        <item x="5"/>
        <item x="69"/>
        <item x="19"/>
        <item x="70"/>
        <item x="13"/>
        <item x="28"/>
        <item x="89"/>
        <item x="7"/>
        <item x="43"/>
        <item x="39"/>
        <item x="35"/>
        <item x="42"/>
        <item x="18"/>
        <item x="26"/>
        <item x="41"/>
        <item x="81"/>
        <item x="8"/>
        <item x="20"/>
        <item x="62"/>
        <item x="4"/>
        <item x="44"/>
        <item x="59"/>
        <item x="11"/>
        <item x="90"/>
        <item x="37"/>
        <item x="47"/>
        <item x="56"/>
        <item x="15"/>
        <item x="38"/>
        <item x="0"/>
        <item x="77"/>
        <item x="71"/>
        <item x="86"/>
        <item x="34"/>
        <item x="1"/>
        <item x="72"/>
        <item x="66"/>
        <item x="76"/>
        <item x="53"/>
        <item x="2"/>
        <item x="84"/>
        <item t="default"/>
      </items>
    </pivotField>
    <pivotField showAll="0">
      <items count="8">
        <item x="4"/>
        <item x="5"/>
        <item x="1"/>
        <item x="3"/>
        <item x="0"/>
        <item x="2"/>
        <item x="6"/>
        <item t="default"/>
      </items>
    </pivotField>
    <pivotField axis="axisRow" showAll="0">
      <items count="5">
        <item x="3"/>
        <item x="0"/>
        <item x="2"/>
        <item x="1"/>
        <item t="default"/>
      </items>
    </pivotField>
    <pivotField showAll="0"/>
    <pivotField showAll="0"/>
    <pivotField dataField="1" showAl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Total Amount" fld="7" baseField="2" baseItem="0" numFmtId="166"/>
  </dataFields>
  <formats count="2">
    <format dxfId="153">
      <pivotArea outline="0" collapsedLevelsAreSubtotals="1" fieldPosition="0">
        <references count="1">
          <reference field="4294967294" count="1" selected="0">
            <x v="0"/>
          </reference>
        </references>
      </pivotArea>
    </format>
    <format dxfId="152">
      <pivotArea dataOnly="0" labelOnly="1" outline="0" fieldPosition="0">
        <references count="1">
          <reference field="4294967294" count="1">
            <x v="0"/>
          </reference>
        </references>
      </pivotArea>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Order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G10:H37" firstHeaderRow="1" firstDataRow="1" firstDataCol="1"/>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4" showAll="0">
      <items count="15">
        <item x="0"/>
        <item x="1"/>
        <item x="2"/>
        <item x="3"/>
        <item x="4"/>
        <item x="5"/>
        <item x="6"/>
        <item x="7"/>
        <item x="8"/>
        <item x="9"/>
        <item x="10"/>
        <item x="11"/>
        <item x="12"/>
        <item x="13"/>
        <item t="default"/>
      </items>
    </pivotField>
    <pivotField showAll="0">
      <items count="92">
        <item x="3"/>
        <item x="32"/>
        <item x="46"/>
        <item x="80"/>
        <item x="31"/>
        <item x="22"/>
        <item x="61"/>
        <item x="30"/>
        <item x="29"/>
        <item x="45"/>
        <item x="14"/>
        <item x="73"/>
        <item x="85"/>
        <item x="17"/>
        <item x="68"/>
        <item x="65"/>
        <item x="24"/>
        <item x="78"/>
        <item x="48"/>
        <item x="87"/>
        <item x="33"/>
        <item x="16"/>
        <item x="52"/>
        <item x="88"/>
        <item x="83"/>
        <item x="6"/>
        <item x="10"/>
        <item x="40"/>
        <item x="55"/>
        <item x="9"/>
        <item x="25"/>
        <item x="27"/>
        <item x="79"/>
        <item x="51"/>
        <item x="54"/>
        <item x="64"/>
        <item x="67"/>
        <item x="36"/>
        <item x="82"/>
        <item x="60"/>
        <item x="12"/>
        <item x="23"/>
        <item x="74"/>
        <item x="49"/>
        <item x="58"/>
        <item x="63"/>
        <item x="75"/>
        <item x="21"/>
        <item x="50"/>
        <item x="57"/>
        <item x="5"/>
        <item x="69"/>
        <item x="19"/>
        <item x="70"/>
        <item x="13"/>
        <item x="28"/>
        <item x="89"/>
        <item x="7"/>
        <item x="43"/>
        <item x="39"/>
        <item x="35"/>
        <item x="42"/>
        <item x="18"/>
        <item x="26"/>
        <item x="41"/>
        <item x="81"/>
        <item x="8"/>
        <item x="20"/>
        <item x="62"/>
        <item x="4"/>
        <item x="44"/>
        <item x="59"/>
        <item x="11"/>
        <item x="90"/>
        <item x="37"/>
        <item x="47"/>
        <item x="56"/>
        <item x="15"/>
        <item x="38"/>
        <item x="0"/>
        <item x="77"/>
        <item x="71"/>
        <item x="86"/>
        <item x="34"/>
        <item x="1"/>
        <item x="72"/>
        <item x="66"/>
        <item x="76"/>
        <item x="53"/>
        <item x="2"/>
        <item x="84"/>
        <item t="default"/>
      </items>
    </pivotField>
    <pivotField showAll="0">
      <items count="8">
        <item x="4"/>
        <item x="5"/>
        <item x="1"/>
        <item x="3"/>
        <item x="0"/>
        <item x="2"/>
        <item x="6"/>
        <item t="default"/>
      </items>
    </pivotField>
    <pivotField showAll="0">
      <items count="5">
        <item x="3"/>
        <item x="0"/>
        <item x="2"/>
        <item x="1"/>
        <item t="default"/>
      </items>
    </pivotField>
    <pivotField showAll="0"/>
    <pivotField showAll="0"/>
    <pivotField dataField="1" showAll="0"/>
    <pivotField axis="axisRow" showAll="0" defaultSubtotal="0">
      <items count="4">
        <item x="0"/>
        <item x="1"/>
        <item x="2"/>
        <item x="3"/>
      </items>
    </pivotField>
  </pivotFields>
  <rowFields count="2">
    <field x="8"/>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Amount" fld="7" baseField="2" baseItem="0" numFmtId="166"/>
  </dataFields>
  <formats count="2">
    <format dxfId="134">
      <pivotArea outline="0" collapsedLevelsAreSubtotals="1" fieldPosition="0">
        <references count="1">
          <reference field="4294967294" count="1" selected="0">
            <x v="0"/>
          </reference>
        </references>
      </pivotArea>
    </format>
    <format dxfId="135">
      <pivotArea dataOnly="0" labelOnly="1" outline="0" fieldPosition="0">
        <references count="1">
          <reference field="4294967294" count="1">
            <x v="0"/>
          </reference>
        </references>
      </pivotArea>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Order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0:D211" firstHeaderRow="0" firstDataRow="1" firstDataCol="1"/>
  <pivotFields count="9">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items count="92">
        <item x="3"/>
        <item x="32"/>
        <item x="46"/>
        <item x="80"/>
        <item x="31"/>
        <item x="22"/>
        <item x="61"/>
        <item x="30"/>
        <item x="29"/>
        <item x="45"/>
        <item x="14"/>
        <item x="73"/>
        <item x="85"/>
        <item x="17"/>
        <item x="68"/>
        <item x="65"/>
        <item x="24"/>
        <item x="78"/>
        <item x="48"/>
        <item x="87"/>
        <item x="33"/>
        <item x="16"/>
        <item x="52"/>
        <item x="88"/>
        <item x="83"/>
        <item x="6"/>
        <item x="10"/>
        <item x="40"/>
        <item x="55"/>
        <item x="9"/>
        <item x="25"/>
        <item x="27"/>
        <item x="79"/>
        <item x="51"/>
        <item x="54"/>
        <item x="64"/>
        <item x="67"/>
        <item x="36"/>
        <item x="82"/>
        <item x="60"/>
        <item x="12"/>
        <item x="23"/>
        <item x="74"/>
        <item x="49"/>
        <item x="58"/>
        <item x="63"/>
        <item x="75"/>
        <item x="21"/>
        <item x="50"/>
        <item x="57"/>
        <item x="5"/>
        <item x="69"/>
        <item x="19"/>
        <item x="70"/>
        <item x="13"/>
        <item x="28"/>
        <item x="89"/>
        <item x="7"/>
        <item x="43"/>
        <item x="39"/>
        <item x="35"/>
        <item x="42"/>
        <item x="18"/>
        <item x="26"/>
        <item x="41"/>
        <item x="81"/>
        <item x="8"/>
        <item x="20"/>
        <item x="62"/>
        <item x="4"/>
        <item x="44"/>
        <item x="59"/>
        <item x="11"/>
        <item x="90"/>
        <item x="37"/>
        <item x="47"/>
        <item x="56"/>
        <item x="15"/>
        <item x="38"/>
        <item x="0"/>
        <item x="77"/>
        <item x="71"/>
        <item x="86"/>
        <item x="34"/>
        <item x="1"/>
        <item x="72"/>
        <item x="66"/>
        <item x="76"/>
        <item x="53"/>
        <item x="2"/>
        <item x="84"/>
        <item t="default"/>
      </items>
    </pivotField>
    <pivotField showAll="0"/>
    <pivotField showAll="0"/>
    <pivotField dataField="1" showAll="0"/>
    <pivotField dataField="1" showAll="0"/>
    <pivotField dataField="1" showAll="0"/>
    <pivotField showAll="0" defaultSubtotal="0">
      <items count="4">
        <item x="0"/>
        <item x="1"/>
        <item x="2"/>
        <item x="3"/>
      </items>
    </pivotField>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3">
    <i>
      <x/>
    </i>
    <i i="1">
      <x v="1"/>
    </i>
    <i i="2">
      <x v="2"/>
    </i>
  </colItems>
  <dataFields count="3">
    <dataField name="No._Quantity" fld="5" baseField="0" baseItem="0"/>
    <dataField name="Total_Unit_Price" fld="6" baseField="2" baseItem="0" numFmtId="166"/>
    <dataField name="Total Amount" fld="7" baseField="2" baseItem="0" numFmtId="166"/>
  </dataFields>
  <formats count="4">
    <format dxfId="151">
      <pivotArea outline="0" collapsedLevelsAreSubtotals="1" fieldPosition="0">
        <references count="1">
          <reference field="4294967294" count="1" selected="0">
            <x v="1"/>
          </reference>
        </references>
      </pivotArea>
    </format>
    <format dxfId="150">
      <pivotArea dataOnly="0" labelOnly="1" outline="0" fieldPosition="0">
        <references count="1">
          <reference field="4294967294" count="1">
            <x v="1"/>
          </reference>
        </references>
      </pivotArea>
    </format>
    <format dxfId="149">
      <pivotArea outline="0" collapsedLevelsAreSubtotals="1" fieldPosition="0">
        <references count="1">
          <reference field="4294967294" count="1" selected="0">
            <x v="2"/>
          </reference>
        </references>
      </pivotArea>
    </format>
    <format dxfId="148">
      <pivotArea dataOnly="0" labelOnly="1" outline="0" fieldPosition="0">
        <references count="1">
          <reference field="4294967294" count="1">
            <x v="2"/>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2"/>
    <pivotTable tabId="2" name="PivotTable4"/>
    <pivotTable tabId="2" name="PivotTable5"/>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4"/>
    <pivotTable tabId="2" name="PivotTable2"/>
    <pivotTable tabId="2" name="PivotTable3"/>
    <pivotTable tabId="2" name="PivotTable5"/>
  </pivotTables>
  <data>
    <tabular pivotCacheId="1">
      <items count="7">
        <i x="4" s="1"/>
        <i x="5"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s>
</file>

<file path=xl/tables/table1.xml><?xml version="1.0" encoding="utf-8"?>
<table xmlns="http://schemas.openxmlformats.org/spreadsheetml/2006/main" id="2" name="Sales_Data" displayName="Sales_Data" ref="A1:H201" totalsRowShown="0" headerRowDxfId="138" dataDxfId="139" headerRowBorderDxfId="146" tableBorderDxfId="147">
  <autoFilter ref="A1:H201"/>
  <tableColumns count="8">
    <tableColumn id="1" name="Order_ID" dataDxfId="145"/>
    <tableColumn id="2" name="Order_Date" dataDxfId="144"/>
    <tableColumn id="3" name="Customer_ID" dataDxfId="143"/>
    <tableColumn id="4" name="Product" dataDxfId="142"/>
    <tableColumn id="5" name="Region" dataDxfId="141"/>
    <tableColumn id="6" name="Quantity" dataDxfId="140"/>
    <tableColumn id="7" name="Unit_Price" dataDxfId="137"/>
    <tableColumn id="8" name="Total_Amount" dataDxfId="1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2" name="PivotTable2"/>
    <pivotTable tabId="2" name="PivotTable3"/>
    <pivotTable tabId="2" name="PivotTable4"/>
    <pivotTable tabId="2" name="PivotTable5"/>
  </pivotTables>
  <state minimalRefreshVersion="6" lastRefreshVersion="6" pivotCacheId="1"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showSelectionLabel="0" showTimeLevel="0" showHorizontalScrollbar="0" level="2" selectionLevel="0" scrollPosition="2023-0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tabSelected="1" workbookViewId="0">
      <selection activeCell="I10" sqref="I10"/>
    </sheetView>
  </sheetViews>
  <sheetFormatPr defaultRowHeight="15" x14ac:dyDescent="0.25"/>
  <cols>
    <col min="1" max="9" width="20.85546875" style="30" customWidth="1"/>
    <col min="10" max="16384" width="9.140625" style="30"/>
  </cols>
  <sheetData>
    <row r="1" spans="1:9" ht="26.25" x14ac:dyDescent="0.25">
      <c r="A1" s="29" t="s">
        <v>328</v>
      </c>
      <c r="B1" s="29"/>
      <c r="C1" s="29"/>
      <c r="D1" s="29"/>
      <c r="E1" s="29"/>
      <c r="F1" s="29"/>
      <c r="G1" s="29"/>
      <c r="H1" s="29"/>
      <c r="I1" s="29"/>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1"/>
  <sheetViews>
    <sheetView workbookViewId="0">
      <selection activeCell="B3" sqref="B3"/>
    </sheetView>
  </sheetViews>
  <sheetFormatPr defaultRowHeight="15" x14ac:dyDescent="0.25"/>
  <cols>
    <col min="1" max="1" width="13.140625" customWidth="1"/>
    <col min="2" max="2" width="15.85546875" bestFit="1" customWidth="1"/>
    <col min="3" max="3" width="15.85546875" style="10" customWidth="1"/>
    <col min="4" max="4" width="13.140625" style="10" customWidth="1"/>
    <col min="7" max="8" width="13.140625" customWidth="1"/>
    <col min="9" max="10" width="13.140625" style="10" customWidth="1"/>
  </cols>
  <sheetData>
    <row r="1" spans="1:10" x14ac:dyDescent="0.25">
      <c r="A1" t="s">
        <v>329</v>
      </c>
      <c r="B1">
        <f>GETPIVOTDATA("No._Quantity",$A$10)</f>
        <v>1014</v>
      </c>
    </row>
    <row r="2" spans="1:10" x14ac:dyDescent="0.25">
      <c r="A2" t="s">
        <v>312</v>
      </c>
      <c r="B2" s="31">
        <f>GETPIVOTDATA("Total_Unit_Price",$A$10)</f>
        <v>4994357</v>
      </c>
    </row>
    <row r="3" spans="1:10" x14ac:dyDescent="0.25">
      <c r="A3" t="s">
        <v>313</v>
      </c>
      <c r="B3" s="31">
        <f>GETPIVOTDATA("Total Amount",$A$10)</f>
        <v>25278148</v>
      </c>
    </row>
    <row r="10" spans="1:10" x14ac:dyDescent="0.25">
      <c r="A10" s="6" t="s">
        <v>310</v>
      </c>
      <c r="B10" t="s">
        <v>329</v>
      </c>
      <c r="C10" s="10" t="s">
        <v>312</v>
      </c>
      <c r="D10" s="10" t="s">
        <v>313</v>
      </c>
      <c r="G10" s="6" t="s">
        <v>310</v>
      </c>
      <c r="H10" t="s">
        <v>313</v>
      </c>
      <c r="I10"/>
      <c r="J10"/>
    </row>
    <row r="11" spans="1:10" x14ac:dyDescent="0.25">
      <c r="A11" s="7" t="s">
        <v>8</v>
      </c>
      <c r="B11" s="8">
        <v>7</v>
      </c>
      <c r="C11" s="10">
        <v>38004</v>
      </c>
      <c r="D11" s="10">
        <v>266028</v>
      </c>
      <c r="G11" s="7" t="s">
        <v>314</v>
      </c>
      <c r="H11" s="10"/>
      <c r="I11"/>
      <c r="J11"/>
    </row>
    <row r="12" spans="1:10" x14ac:dyDescent="0.25">
      <c r="A12" s="7" t="s">
        <v>12</v>
      </c>
      <c r="B12" s="8">
        <v>4</v>
      </c>
      <c r="C12" s="10">
        <v>2302</v>
      </c>
      <c r="D12" s="10">
        <v>9208</v>
      </c>
      <c r="G12" s="9" t="s">
        <v>315</v>
      </c>
      <c r="H12" s="10">
        <v>724197</v>
      </c>
      <c r="I12"/>
      <c r="J12"/>
    </row>
    <row r="13" spans="1:10" x14ac:dyDescent="0.25">
      <c r="A13" s="7" t="s">
        <v>16</v>
      </c>
      <c r="B13" s="8">
        <v>8</v>
      </c>
      <c r="C13" s="10">
        <v>8655</v>
      </c>
      <c r="D13" s="10">
        <v>69240</v>
      </c>
      <c r="G13" s="9" t="s">
        <v>316</v>
      </c>
      <c r="H13" s="10">
        <v>1214315</v>
      </c>
      <c r="I13"/>
      <c r="J13"/>
    </row>
    <row r="14" spans="1:10" x14ac:dyDescent="0.25">
      <c r="A14" s="7" t="s">
        <v>20</v>
      </c>
      <c r="B14" s="8">
        <v>5</v>
      </c>
      <c r="C14" s="10">
        <v>8620</v>
      </c>
      <c r="D14" s="10">
        <v>43100</v>
      </c>
      <c r="G14" s="9" t="s">
        <v>317</v>
      </c>
      <c r="H14" s="10">
        <v>2187236</v>
      </c>
      <c r="I14"/>
      <c r="J14"/>
    </row>
    <row r="15" spans="1:10" x14ac:dyDescent="0.25">
      <c r="A15" s="7" t="s">
        <v>22</v>
      </c>
      <c r="B15" s="8">
        <v>7</v>
      </c>
      <c r="C15" s="10">
        <v>39884</v>
      </c>
      <c r="D15" s="10">
        <v>279188</v>
      </c>
      <c r="G15" s="9" t="s">
        <v>318</v>
      </c>
      <c r="H15" s="10">
        <v>772062</v>
      </c>
      <c r="I15"/>
      <c r="J15"/>
    </row>
    <row r="16" spans="1:10" x14ac:dyDescent="0.25">
      <c r="A16" s="7" t="s">
        <v>25</v>
      </c>
      <c r="B16" s="8">
        <v>3</v>
      </c>
      <c r="C16" s="10">
        <v>47525</v>
      </c>
      <c r="D16" s="10">
        <v>142575</v>
      </c>
      <c r="G16" s="9" t="s">
        <v>319</v>
      </c>
      <c r="H16" s="10">
        <v>1099701</v>
      </c>
      <c r="I16"/>
      <c r="J16"/>
    </row>
    <row r="17" spans="1:10" x14ac:dyDescent="0.25">
      <c r="A17" s="7" t="s">
        <v>28</v>
      </c>
      <c r="B17" s="8">
        <v>7</v>
      </c>
      <c r="C17" s="10">
        <v>47754</v>
      </c>
      <c r="D17" s="10">
        <v>334278</v>
      </c>
      <c r="G17" s="9" t="s">
        <v>320</v>
      </c>
      <c r="H17" s="10">
        <v>1288759</v>
      </c>
      <c r="I17"/>
      <c r="J17"/>
    </row>
    <row r="18" spans="1:10" x14ac:dyDescent="0.25">
      <c r="A18" s="7" t="s">
        <v>29</v>
      </c>
      <c r="B18" s="8">
        <v>8</v>
      </c>
      <c r="C18" s="10">
        <v>22418</v>
      </c>
      <c r="D18" s="10">
        <v>179344</v>
      </c>
      <c r="G18" s="9" t="s">
        <v>321</v>
      </c>
      <c r="H18" s="10">
        <v>1207604</v>
      </c>
      <c r="I18"/>
      <c r="J18"/>
    </row>
    <row r="19" spans="1:10" x14ac:dyDescent="0.25">
      <c r="A19" s="7" t="s">
        <v>31</v>
      </c>
      <c r="B19" s="8">
        <v>5</v>
      </c>
      <c r="C19" s="10">
        <v>20945</v>
      </c>
      <c r="D19" s="10">
        <v>104725</v>
      </c>
      <c r="G19" s="9" t="s">
        <v>322</v>
      </c>
      <c r="H19" s="10">
        <v>1408665</v>
      </c>
      <c r="I19"/>
      <c r="J19"/>
    </row>
    <row r="20" spans="1:10" x14ac:dyDescent="0.25">
      <c r="A20" s="7" t="s">
        <v>33</v>
      </c>
      <c r="B20" s="8">
        <v>4</v>
      </c>
      <c r="C20" s="10">
        <v>30806</v>
      </c>
      <c r="D20" s="10">
        <v>123224</v>
      </c>
      <c r="G20" s="9" t="s">
        <v>323</v>
      </c>
      <c r="H20" s="10">
        <v>214918</v>
      </c>
      <c r="I20"/>
      <c r="J20"/>
    </row>
    <row r="21" spans="1:10" x14ac:dyDescent="0.25">
      <c r="A21" s="7" t="s">
        <v>35</v>
      </c>
      <c r="B21" s="8">
        <v>8</v>
      </c>
      <c r="C21" s="10">
        <v>17146</v>
      </c>
      <c r="D21" s="10">
        <v>137168</v>
      </c>
      <c r="G21" s="9" t="s">
        <v>324</v>
      </c>
      <c r="H21" s="10">
        <v>1727408</v>
      </c>
      <c r="I21"/>
      <c r="J21"/>
    </row>
    <row r="22" spans="1:10" x14ac:dyDescent="0.25">
      <c r="A22" s="7" t="s">
        <v>37</v>
      </c>
      <c r="B22" s="8">
        <v>8</v>
      </c>
      <c r="C22" s="10">
        <v>47343</v>
      </c>
      <c r="D22" s="10">
        <v>378744</v>
      </c>
      <c r="G22" s="9" t="s">
        <v>325</v>
      </c>
      <c r="H22" s="10">
        <v>914381</v>
      </c>
      <c r="I22"/>
      <c r="J22"/>
    </row>
    <row r="23" spans="1:10" x14ac:dyDescent="0.25">
      <c r="A23" s="7" t="s">
        <v>39</v>
      </c>
      <c r="B23" s="8">
        <v>3</v>
      </c>
      <c r="C23" s="10">
        <v>31565</v>
      </c>
      <c r="D23" s="10">
        <v>94695</v>
      </c>
      <c r="G23" s="9" t="s">
        <v>326</v>
      </c>
      <c r="H23" s="10">
        <v>161985</v>
      </c>
      <c r="I23"/>
      <c r="J23"/>
    </row>
    <row r="24" spans="1:10" x14ac:dyDescent="0.25">
      <c r="A24" s="7" t="s">
        <v>42</v>
      </c>
      <c r="B24" s="8">
        <v>6</v>
      </c>
      <c r="C24" s="10">
        <v>25699</v>
      </c>
      <c r="D24" s="10">
        <v>154194</v>
      </c>
      <c r="G24" s="7" t="s">
        <v>327</v>
      </c>
      <c r="H24" s="10"/>
      <c r="I24"/>
      <c r="J24"/>
    </row>
    <row r="25" spans="1:10" x14ac:dyDescent="0.25">
      <c r="A25" s="7" t="s">
        <v>45</v>
      </c>
      <c r="B25" s="8">
        <v>5</v>
      </c>
      <c r="C25" s="10">
        <v>42476</v>
      </c>
      <c r="D25" s="10">
        <v>212380</v>
      </c>
      <c r="G25" s="9" t="s">
        <v>315</v>
      </c>
      <c r="H25" s="10">
        <v>1087351</v>
      </c>
      <c r="I25"/>
      <c r="J25"/>
    </row>
    <row r="26" spans="1:10" x14ac:dyDescent="0.25">
      <c r="A26" s="7" t="s">
        <v>47</v>
      </c>
      <c r="B26" s="8">
        <v>2</v>
      </c>
      <c r="C26" s="10">
        <v>16871</v>
      </c>
      <c r="D26" s="10">
        <v>33742</v>
      </c>
      <c r="G26" s="9" t="s">
        <v>316</v>
      </c>
      <c r="H26" s="10">
        <v>304982</v>
      </c>
      <c r="I26"/>
      <c r="J26"/>
    </row>
    <row r="27" spans="1:10" x14ac:dyDescent="0.25">
      <c r="A27" s="7" t="s">
        <v>49</v>
      </c>
      <c r="B27" s="8">
        <v>8</v>
      </c>
      <c r="C27" s="10">
        <v>12335</v>
      </c>
      <c r="D27" s="10">
        <v>98680</v>
      </c>
      <c r="G27" s="9" t="s">
        <v>317</v>
      </c>
      <c r="H27" s="10">
        <v>1121684</v>
      </c>
      <c r="I27"/>
      <c r="J27"/>
    </row>
    <row r="28" spans="1:10" x14ac:dyDescent="0.25">
      <c r="A28" s="7" t="s">
        <v>51</v>
      </c>
      <c r="B28" s="8">
        <v>6</v>
      </c>
      <c r="C28" s="10">
        <v>46436</v>
      </c>
      <c r="D28" s="10">
        <v>278616</v>
      </c>
      <c r="G28" s="9" t="s">
        <v>318</v>
      </c>
      <c r="H28" s="10">
        <v>1362318</v>
      </c>
      <c r="I28"/>
      <c r="J28"/>
    </row>
    <row r="29" spans="1:10" x14ac:dyDescent="0.25">
      <c r="A29" s="7" t="s">
        <v>53</v>
      </c>
      <c r="B29" s="8">
        <v>2</v>
      </c>
      <c r="C29" s="10">
        <v>2549</v>
      </c>
      <c r="D29" s="10">
        <v>5098</v>
      </c>
      <c r="G29" s="9" t="s">
        <v>319</v>
      </c>
      <c r="H29" s="10">
        <v>524932</v>
      </c>
      <c r="I29"/>
      <c r="J29"/>
    </row>
    <row r="30" spans="1:10" x14ac:dyDescent="0.25">
      <c r="A30" s="7" t="s">
        <v>54</v>
      </c>
      <c r="B30" s="8">
        <v>5</v>
      </c>
      <c r="C30" s="10">
        <v>32116</v>
      </c>
      <c r="D30" s="10">
        <v>160580</v>
      </c>
      <c r="G30" s="9" t="s">
        <v>320</v>
      </c>
      <c r="H30" s="10">
        <v>1597673</v>
      </c>
      <c r="I30"/>
      <c r="J30"/>
    </row>
    <row r="31" spans="1:10" x14ac:dyDescent="0.25">
      <c r="A31" s="7" t="s">
        <v>56</v>
      </c>
      <c r="B31" s="8">
        <v>1</v>
      </c>
      <c r="C31" s="10">
        <v>38691</v>
      </c>
      <c r="D31" s="10">
        <v>38691</v>
      </c>
      <c r="G31" s="9" t="s">
        <v>321</v>
      </c>
      <c r="H31" s="10">
        <v>1846568</v>
      </c>
      <c r="I31"/>
      <c r="J31"/>
    </row>
    <row r="32" spans="1:10" x14ac:dyDescent="0.25">
      <c r="A32" s="7" t="s">
        <v>57</v>
      </c>
      <c r="B32" s="8">
        <v>6</v>
      </c>
      <c r="C32" s="10">
        <v>47857</v>
      </c>
      <c r="D32" s="10">
        <v>287142</v>
      </c>
      <c r="G32" s="9" t="s">
        <v>322</v>
      </c>
      <c r="H32" s="10">
        <v>909158</v>
      </c>
      <c r="I32"/>
      <c r="J32"/>
    </row>
    <row r="33" spans="1:10" x14ac:dyDescent="0.25">
      <c r="A33" s="7" t="s">
        <v>60</v>
      </c>
      <c r="B33" s="8">
        <v>9</v>
      </c>
      <c r="C33" s="10">
        <v>21432</v>
      </c>
      <c r="D33" s="10">
        <v>192888</v>
      </c>
      <c r="G33" s="9" t="s">
        <v>323</v>
      </c>
      <c r="H33" s="10">
        <v>1750523</v>
      </c>
      <c r="I33"/>
      <c r="J33"/>
    </row>
    <row r="34" spans="1:10" x14ac:dyDescent="0.25">
      <c r="A34" s="7" t="s">
        <v>62</v>
      </c>
      <c r="B34" s="8">
        <v>1</v>
      </c>
      <c r="C34" s="10">
        <v>30355</v>
      </c>
      <c r="D34" s="10">
        <v>30355</v>
      </c>
      <c r="G34" s="9" t="s">
        <v>324</v>
      </c>
      <c r="H34" s="10">
        <v>630473</v>
      </c>
      <c r="I34"/>
      <c r="J34"/>
    </row>
    <row r="35" spans="1:10" x14ac:dyDescent="0.25">
      <c r="A35" s="7" t="s">
        <v>64</v>
      </c>
      <c r="B35" s="8">
        <v>3</v>
      </c>
      <c r="C35" s="10">
        <v>7658</v>
      </c>
      <c r="D35" s="10">
        <v>22974</v>
      </c>
      <c r="G35" s="9" t="s">
        <v>325</v>
      </c>
      <c r="H35" s="10">
        <v>821381</v>
      </c>
      <c r="I35"/>
      <c r="J35"/>
    </row>
    <row r="36" spans="1:10" x14ac:dyDescent="0.25">
      <c r="A36" s="7" t="s">
        <v>65</v>
      </c>
      <c r="B36" s="8">
        <v>7</v>
      </c>
      <c r="C36" s="10">
        <v>43516</v>
      </c>
      <c r="D36" s="10">
        <v>304612</v>
      </c>
      <c r="G36" s="9" t="s">
        <v>326</v>
      </c>
      <c r="H36" s="10">
        <v>399874</v>
      </c>
      <c r="I36"/>
      <c r="J36"/>
    </row>
    <row r="37" spans="1:10" x14ac:dyDescent="0.25">
      <c r="A37" s="7" t="s">
        <v>67</v>
      </c>
      <c r="B37" s="8">
        <v>4</v>
      </c>
      <c r="C37" s="10">
        <v>7900</v>
      </c>
      <c r="D37" s="10">
        <v>31600</v>
      </c>
      <c r="G37" s="7" t="s">
        <v>311</v>
      </c>
      <c r="H37" s="10">
        <v>25278148</v>
      </c>
      <c r="I37"/>
      <c r="J37"/>
    </row>
    <row r="38" spans="1:10" x14ac:dyDescent="0.25">
      <c r="A38" s="7" t="s">
        <v>69</v>
      </c>
      <c r="B38" s="8">
        <v>9</v>
      </c>
      <c r="C38" s="10">
        <v>43142</v>
      </c>
      <c r="D38" s="10">
        <v>388278</v>
      </c>
    </row>
    <row r="39" spans="1:10" x14ac:dyDescent="0.25">
      <c r="A39" s="7" t="s">
        <v>71</v>
      </c>
      <c r="B39" s="8">
        <v>3</v>
      </c>
      <c r="C39" s="10">
        <v>15651</v>
      </c>
      <c r="D39" s="10">
        <v>46953</v>
      </c>
    </row>
    <row r="40" spans="1:10" x14ac:dyDescent="0.25">
      <c r="A40" s="7" t="s">
        <v>73</v>
      </c>
      <c r="B40" s="8">
        <v>5</v>
      </c>
      <c r="C40" s="10">
        <v>1654</v>
      </c>
      <c r="D40" s="10">
        <v>8270</v>
      </c>
    </row>
    <row r="41" spans="1:10" x14ac:dyDescent="0.25">
      <c r="A41" s="7" t="s">
        <v>74</v>
      </c>
      <c r="B41" s="8">
        <v>3</v>
      </c>
      <c r="C41" s="10">
        <v>4999</v>
      </c>
      <c r="D41" s="10">
        <v>14997</v>
      </c>
      <c r="G41" s="6" t="s">
        <v>310</v>
      </c>
      <c r="H41" t="s">
        <v>313</v>
      </c>
      <c r="I41"/>
      <c r="J41"/>
    </row>
    <row r="42" spans="1:10" x14ac:dyDescent="0.25">
      <c r="A42" s="7" t="s">
        <v>75</v>
      </c>
      <c r="B42" s="8">
        <v>7</v>
      </c>
      <c r="C42" s="10">
        <v>6795</v>
      </c>
      <c r="D42" s="10">
        <v>47565</v>
      </c>
      <c r="G42" s="7" t="s">
        <v>44</v>
      </c>
      <c r="H42" s="10">
        <v>7836511</v>
      </c>
      <c r="I42"/>
      <c r="J42"/>
    </row>
    <row r="43" spans="1:10" x14ac:dyDescent="0.25">
      <c r="A43" s="7" t="s">
        <v>77</v>
      </c>
      <c r="B43" s="8">
        <v>5</v>
      </c>
      <c r="C43" s="10">
        <v>12683</v>
      </c>
      <c r="D43" s="10">
        <v>63415</v>
      </c>
      <c r="G43" s="7" t="s">
        <v>11</v>
      </c>
      <c r="H43" s="10">
        <v>5920252</v>
      </c>
      <c r="I43"/>
      <c r="J43"/>
    </row>
    <row r="44" spans="1:10" x14ac:dyDescent="0.25">
      <c r="A44" s="7" t="s">
        <v>78</v>
      </c>
      <c r="B44" s="8">
        <v>9</v>
      </c>
      <c r="C44" s="10">
        <v>29799</v>
      </c>
      <c r="D44" s="10">
        <v>268191</v>
      </c>
      <c r="G44" s="7" t="s">
        <v>19</v>
      </c>
      <c r="H44" s="10">
        <v>5223702</v>
      </c>
      <c r="I44"/>
      <c r="J44"/>
    </row>
    <row r="45" spans="1:10" x14ac:dyDescent="0.25">
      <c r="A45" s="7" t="s">
        <v>79</v>
      </c>
      <c r="B45" s="8">
        <v>7</v>
      </c>
      <c r="C45" s="10">
        <v>13374</v>
      </c>
      <c r="D45" s="10">
        <v>93618</v>
      </c>
      <c r="G45" s="7" t="s">
        <v>15</v>
      </c>
      <c r="H45" s="10">
        <v>6297683</v>
      </c>
      <c r="I45"/>
      <c r="J45"/>
    </row>
    <row r="46" spans="1:10" x14ac:dyDescent="0.25">
      <c r="A46" s="7" t="s">
        <v>81</v>
      </c>
      <c r="B46" s="8">
        <v>2</v>
      </c>
      <c r="C46" s="10">
        <v>33211</v>
      </c>
      <c r="D46" s="10">
        <v>66422</v>
      </c>
      <c r="G46" s="7" t="s">
        <v>311</v>
      </c>
      <c r="H46" s="10">
        <v>25278148</v>
      </c>
      <c r="I46"/>
      <c r="J46"/>
    </row>
    <row r="47" spans="1:10" x14ac:dyDescent="0.25">
      <c r="A47" s="7" t="s">
        <v>82</v>
      </c>
      <c r="B47" s="8">
        <v>4</v>
      </c>
      <c r="C47" s="10">
        <v>6039</v>
      </c>
      <c r="D47" s="10">
        <v>24156</v>
      </c>
    </row>
    <row r="48" spans="1:10" x14ac:dyDescent="0.25">
      <c r="A48" s="7" t="s">
        <v>84</v>
      </c>
      <c r="B48" s="8">
        <v>9</v>
      </c>
      <c r="C48" s="10">
        <v>42905</v>
      </c>
      <c r="D48" s="10">
        <v>386145</v>
      </c>
    </row>
    <row r="49" spans="1:10" x14ac:dyDescent="0.25">
      <c r="A49" s="7" t="s">
        <v>85</v>
      </c>
      <c r="B49" s="8">
        <v>2</v>
      </c>
      <c r="C49" s="10">
        <v>48854</v>
      </c>
      <c r="D49" s="10">
        <v>97708</v>
      </c>
    </row>
    <row r="50" spans="1:10" x14ac:dyDescent="0.25">
      <c r="A50" s="7" t="s">
        <v>87</v>
      </c>
      <c r="B50" s="8">
        <v>9</v>
      </c>
      <c r="C50" s="10">
        <v>3057</v>
      </c>
      <c r="D50" s="10">
        <v>27513</v>
      </c>
      <c r="G50" s="6" t="s">
        <v>310</v>
      </c>
      <c r="H50" t="s">
        <v>313</v>
      </c>
      <c r="I50"/>
      <c r="J50"/>
    </row>
    <row r="51" spans="1:10" x14ac:dyDescent="0.25">
      <c r="A51" s="7" t="s">
        <v>89</v>
      </c>
      <c r="B51" s="8">
        <v>5</v>
      </c>
      <c r="C51" s="10">
        <v>38860</v>
      </c>
      <c r="D51" s="10">
        <v>194300</v>
      </c>
      <c r="G51" s="7" t="s">
        <v>59</v>
      </c>
      <c r="H51" s="10">
        <v>2951507</v>
      </c>
      <c r="I51"/>
      <c r="J51"/>
    </row>
    <row r="52" spans="1:10" x14ac:dyDescent="0.25">
      <c r="A52" s="7" t="s">
        <v>91</v>
      </c>
      <c r="B52" s="8">
        <v>2</v>
      </c>
      <c r="C52" s="10">
        <v>16982</v>
      </c>
      <c r="D52" s="10">
        <v>33964</v>
      </c>
      <c r="G52" s="7" t="s">
        <v>10</v>
      </c>
      <c r="H52" s="10">
        <v>3280886</v>
      </c>
      <c r="I52"/>
      <c r="J52"/>
    </row>
    <row r="53" spans="1:10" x14ac:dyDescent="0.25">
      <c r="A53" s="7" t="s">
        <v>93</v>
      </c>
      <c r="B53" s="8">
        <v>4</v>
      </c>
      <c r="C53" s="10">
        <v>2700</v>
      </c>
      <c r="D53" s="10">
        <v>10800</v>
      </c>
      <c r="G53" s="7" t="s">
        <v>27</v>
      </c>
      <c r="H53" s="10">
        <v>3565903</v>
      </c>
      <c r="I53"/>
      <c r="J53"/>
    </row>
    <row r="54" spans="1:10" x14ac:dyDescent="0.25">
      <c r="A54" s="7" t="s">
        <v>94</v>
      </c>
      <c r="B54" s="8">
        <v>7</v>
      </c>
      <c r="C54" s="10">
        <v>47440</v>
      </c>
      <c r="D54" s="10">
        <v>332080</v>
      </c>
      <c r="G54" s="7" t="s">
        <v>14</v>
      </c>
      <c r="H54" s="10">
        <v>3825222</v>
      </c>
      <c r="I54"/>
      <c r="J54"/>
    </row>
    <row r="55" spans="1:10" x14ac:dyDescent="0.25">
      <c r="A55" s="7" t="s">
        <v>96</v>
      </c>
      <c r="B55" s="8">
        <v>8</v>
      </c>
      <c r="C55" s="10">
        <v>3461</v>
      </c>
      <c r="D55" s="10">
        <v>27688</v>
      </c>
      <c r="G55" s="7" t="s">
        <v>18</v>
      </c>
      <c r="H55" s="10">
        <v>3844347</v>
      </c>
      <c r="I55"/>
      <c r="J55"/>
    </row>
    <row r="56" spans="1:10" x14ac:dyDescent="0.25">
      <c r="A56" s="7" t="s">
        <v>97</v>
      </c>
      <c r="B56" s="8">
        <v>3</v>
      </c>
      <c r="C56" s="10">
        <v>47475</v>
      </c>
      <c r="D56" s="10">
        <v>142425</v>
      </c>
      <c r="G56" s="7" t="s">
        <v>24</v>
      </c>
      <c r="H56" s="10">
        <v>3849870</v>
      </c>
      <c r="I56"/>
      <c r="J56"/>
    </row>
    <row r="57" spans="1:10" x14ac:dyDescent="0.25">
      <c r="A57" s="7" t="s">
        <v>99</v>
      </c>
      <c r="B57" s="8">
        <v>1</v>
      </c>
      <c r="C57" s="10">
        <v>21857</v>
      </c>
      <c r="D57" s="10">
        <v>21857</v>
      </c>
      <c r="G57" s="7" t="s">
        <v>41</v>
      </c>
      <c r="H57" s="10">
        <v>3960413</v>
      </c>
      <c r="I57"/>
      <c r="J57"/>
    </row>
    <row r="58" spans="1:10" x14ac:dyDescent="0.25">
      <c r="A58" s="7" t="s">
        <v>101</v>
      </c>
      <c r="B58" s="8">
        <v>4</v>
      </c>
      <c r="C58" s="10">
        <v>12469</v>
      </c>
      <c r="D58" s="10">
        <v>49876</v>
      </c>
      <c r="G58" s="7" t="s">
        <v>311</v>
      </c>
      <c r="H58" s="10">
        <v>25278148</v>
      </c>
      <c r="I58"/>
      <c r="J58"/>
    </row>
    <row r="59" spans="1:10" x14ac:dyDescent="0.25">
      <c r="A59" s="7" t="s">
        <v>103</v>
      </c>
      <c r="B59" s="8">
        <v>2</v>
      </c>
      <c r="C59" s="10">
        <v>3369</v>
      </c>
      <c r="D59" s="10">
        <v>6738</v>
      </c>
    </row>
    <row r="60" spans="1:10" x14ac:dyDescent="0.25">
      <c r="A60" s="7" t="s">
        <v>105</v>
      </c>
      <c r="B60" s="8">
        <v>8</v>
      </c>
      <c r="C60" s="10">
        <v>47260</v>
      </c>
      <c r="D60" s="10">
        <v>378080</v>
      </c>
    </row>
    <row r="61" spans="1:10" x14ac:dyDescent="0.25">
      <c r="A61" s="7" t="s">
        <v>106</v>
      </c>
      <c r="B61" s="8">
        <v>4</v>
      </c>
      <c r="C61" s="10">
        <v>29143</v>
      </c>
      <c r="D61" s="10">
        <v>116572</v>
      </c>
    </row>
    <row r="62" spans="1:10" x14ac:dyDescent="0.25">
      <c r="A62" s="7" t="s">
        <v>107</v>
      </c>
      <c r="B62" s="8">
        <v>2</v>
      </c>
      <c r="C62" s="10">
        <v>25236</v>
      </c>
      <c r="D62" s="10">
        <v>50472</v>
      </c>
      <c r="G62" s="6" t="s">
        <v>310</v>
      </c>
      <c r="H62" t="s">
        <v>313</v>
      </c>
      <c r="I62"/>
      <c r="J62"/>
    </row>
    <row r="63" spans="1:10" x14ac:dyDescent="0.25">
      <c r="A63" s="7" t="s">
        <v>109</v>
      </c>
      <c r="B63" s="8">
        <v>6</v>
      </c>
      <c r="C63" s="10">
        <v>38967</v>
      </c>
      <c r="D63" s="10">
        <v>233802</v>
      </c>
      <c r="G63" s="7" t="s">
        <v>21</v>
      </c>
      <c r="H63" s="10">
        <v>59958</v>
      </c>
      <c r="I63"/>
      <c r="J63"/>
    </row>
    <row r="64" spans="1:10" x14ac:dyDescent="0.25">
      <c r="A64" s="7" t="s">
        <v>111</v>
      </c>
      <c r="B64" s="8">
        <v>6</v>
      </c>
      <c r="C64" s="10">
        <v>23828</v>
      </c>
      <c r="D64" s="10">
        <v>142968</v>
      </c>
      <c r="G64" s="7" t="s">
        <v>95</v>
      </c>
      <c r="H64" s="10">
        <v>332080</v>
      </c>
      <c r="I64"/>
      <c r="J64"/>
    </row>
    <row r="65" spans="1:10" x14ac:dyDescent="0.25">
      <c r="A65" s="7" t="s">
        <v>113</v>
      </c>
      <c r="B65" s="8">
        <v>4</v>
      </c>
      <c r="C65" s="10">
        <v>26376</v>
      </c>
      <c r="D65" s="10">
        <v>105504</v>
      </c>
      <c r="G65" s="7" t="s">
        <v>130</v>
      </c>
      <c r="H65" s="10">
        <v>84828</v>
      </c>
      <c r="I65"/>
      <c r="J65"/>
    </row>
    <row r="66" spans="1:10" x14ac:dyDescent="0.25">
      <c r="A66" s="7" t="s">
        <v>115</v>
      </c>
      <c r="B66" s="8">
        <v>6</v>
      </c>
      <c r="C66" s="10">
        <v>21795</v>
      </c>
      <c r="D66" s="10">
        <v>130770</v>
      </c>
      <c r="G66" s="7" t="s">
        <v>259</v>
      </c>
      <c r="H66" s="10">
        <v>22932</v>
      </c>
      <c r="I66"/>
      <c r="J66"/>
    </row>
    <row r="67" spans="1:10" x14ac:dyDescent="0.25">
      <c r="A67" s="7" t="s">
        <v>116</v>
      </c>
      <c r="B67" s="8">
        <v>2</v>
      </c>
      <c r="C67" s="10">
        <v>4487</v>
      </c>
      <c r="D67" s="10">
        <v>8974</v>
      </c>
      <c r="G67" s="7" t="s">
        <v>92</v>
      </c>
      <c r="H67" s="10">
        <v>590849</v>
      </c>
      <c r="I67"/>
      <c r="J67"/>
    </row>
    <row r="68" spans="1:10" x14ac:dyDescent="0.25">
      <c r="A68" s="7" t="s">
        <v>118</v>
      </c>
      <c r="B68" s="8">
        <v>2</v>
      </c>
      <c r="C68" s="10">
        <v>22899</v>
      </c>
      <c r="D68" s="10">
        <v>45798</v>
      </c>
      <c r="G68" s="7" t="s">
        <v>68</v>
      </c>
      <c r="H68" s="10">
        <v>177355</v>
      </c>
      <c r="I68"/>
      <c r="J68"/>
    </row>
    <row r="69" spans="1:10" x14ac:dyDescent="0.25">
      <c r="A69" s="7" t="s">
        <v>119</v>
      </c>
      <c r="B69" s="8">
        <v>4</v>
      </c>
      <c r="C69" s="10">
        <v>46714</v>
      </c>
      <c r="D69" s="10">
        <v>186856</v>
      </c>
      <c r="G69" s="7" t="s">
        <v>178</v>
      </c>
      <c r="H69" s="10">
        <v>458302</v>
      </c>
      <c r="I69"/>
      <c r="J69"/>
    </row>
    <row r="70" spans="1:10" x14ac:dyDescent="0.25">
      <c r="A70" s="7" t="s">
        <v>120</v>
      </c>
      <c r="B70" s="8">
        <v>8</v>
      </c>
      <c r="C70" s="10">
        <v>34486</v>
      </c>
      <c r="D70" s="10">
        <v>275888</v>
      </c>
      <c r="G70" s="7" t="s">
        <v>90</v>
      </c>
      <c r="H70" s="10">
        <v>194300</v>
      </c>
      <c r="I70"/>
      <c r="J70"/>
    </row>
    <row r="71" spans="1:10" x14ac:dyDescent="0.25">
      <c r="A71" s="7" t="s">
        <v>122</v>
      </c>
      <c r="B71" s="8">
        <v>7</v>
      </c>
      <c r="C71" s="10">
        <v>21380</v>
      </c>
      <c r="D71" s="10">
        <v>149660</v>
      </c>
      <c r="G71" s="7" t="s">
        <v>88</v>
      </c>
      <c r="H71" s="10">
        <v>106703</v>
      </c>
      <c r="I71"/>
      <c r="J71"/>
    </row>
    <row r="72" spans="1:10" x14ac:dyDescent="0.25">
      <c r="A72" s="7" t="s">
        <v>124</v>
      </c>
      <c r="B72" s="8">
        <v>9</v>
      </c>
      <c r="C72" s="10">
        <v>5235</v>
      </c>
      <c r="D72" s="10">
        <v>47115</v>
      </c>
      <c r="G72" s="7" t="s">
        <v>127</v>
      </c>
      <c r="H72" s="10">
        <v>356512</v>
      </c>
      <c r="I72"/>
      <c r="J72"/>
    </row>
    <row r="73" spans="1:10" x14ac:dyDescent="0.25">
      <c r="A73" s="7" t="s">
        <v>126</v>
      </c>
      <c r="B73" s="8">
        <v>8</v>
      </c>
      <c r="C73" s="10">
        <v>44564</v>
      </c>
      <c r="D73" s="10">
        <v>356512</v>
      </c>
      <c r="G73" s="7" t="s">
        <v>48</v>
      </c>
      <c r="H73" s="10">
        <v>243618</v>
      </c>
      <c r="I73"/>
      <c r="J73"/>
    </row>
    <row r="74" spans="1:10" x14ac:dyDescent="0.25">
      <c r="A74" s="7" t="s">
        <v>128</v>
      </c>
      <c r="B74" s="8">
        <v>5</v>
      </c>
      <c r="C74" s="10">
        <v>5055</v>
      </c>
      <c r="D74" s="10">
        <v>25275</v>
      </c>
      <c r="G74" s="7" t="s">
        <v>229</v>
      </c>
      <c r="H74" s="10">
        <v>325526</v>
      </c>
      <c r="I74"/>
      <c r="J74"/>
    </row>
    <row r="75" spans="1:10" x14ac:dyDescent="0.25">
      <c r="A75" s="7" t="s">
        <v>129</v>
      </c>
      <c r="B75" s="8">
        <v>2</v>
      </c>
      <c r="C75" s="10">
        <v>42414</v>
      </c>
      <c r="D75" s="10">
        <v>84828</v>
      </c>
      <c r="G75" s="7" t="s">
        <v>272</v>
      </c>
      <c r="H75" s="10">
        <v>60498</v>
      </c>
      <c r="I75"/>
      <c r="J75"/>
    </row>
    <row r="76" spans="1:10" x14ac:dyDescent="0.25">
      <c r="A76" s="7" t="s">
        <v>131</v>
      </c>
      <c r="B76" s="8">
        <v>5</v>
      </c>
      <c r="C76" s="10">
        <v>41318</v>
      </c>
      <c r="D76" s="10">
        <v>206590</v>
      </c>
      <c r="G76" s="7" t="s">
        <v>55</v>
      </c>
      <c r="H76" s="10">
        <v>528847</v>
      </c>
      <c r="I76"/>
      <c r="J76"/>
    </row>
    <row r="77" spans="1:10" x14ac:dyDescent="0.25">
      <c r="A77" s="7" t="s">
        <v>133</v>
      </c>
      <c r="B77" s="8">
        <v>8</v>
      </c>
      <c r="C77" s="10">
        <v>46025</v>
      </c>
      <c r="D77" s="10">
        <v>368200</v>
      </c>
      <c r="G77" s="7" t="s">
        <v>205</v>
      </c>
      <c r="H77" s="10">
        <v>701366</v>
      </c>
      <c r="I77"/>
      <c r="J77"/>
    </row>
    <row r="78" spans="1:10" x14ac:dyDescent="0.25">
      <c r="A78" s="7" t="s">
        <v>134</v>
      </c>
      <c r="B78" s="8">
        <v>9</v>
      </c>
      <c r="C78" s="10">
        <v>20330</v>
      </c>
      <c r="D78" s="10">
        <v>182970</v>
      </c>
      <c r="G78" s="7" t="s">
        <v>192</v>
      </c>
      <c r="H78" s="10">
        <v>21912</v>
      </c>
      <c r="I78"/>
      <c r="J78"/>
    </row>
    <row r="79" spans="1:10" x14ac:dyDescent="0.25">
      <c r="A79" s="7" t="s">
        <v>136</v>
      </c>
      <c r="B79" s="8">
        <v>9</v>
      </c>
      <c r="C79" s="10">
        <v>17929</v>
      </c>
      <c r="D79" s="10">
        <v>161361</v>
      </c>
      <c r="G79" s="7" t="s">
        <v>72</v>
      </c>
      <c r="H79" s="10">
        <v>730830</v>
      </c>
      <c r="I79"/>
      <c r="J79"/>
    </row>
    <row r="80" spans="1:10" x14ac:dyDescent="0.25">
      <c r="A80" s="7" t="s">
        <v>138</v>
      </c>
      <c r="B80" s="8">
        <v>1</v>
      </c>
      <c r="C80" s="10">
        <v>7393</v>
      </c>
      <c r="D80" s="10">
        <v>7393</v>
      </c>
      <c r="G80" s="7" t="s">
        <v>251</v>
      </c>
      <c r="H80" s="10">
        <v>11393</v>
      </c>
      <c r="I80"/>
      <c r="J80"/>
    </row>
    <row r="81" spans="1:10" x14ac:dyDescent="0.25">
      <c r="A81" s="7" t="s">
        <v>139</v>
      </c>
      <c r="B81" s="8">
        <v>9</v>
      </c>
      <c r="C81" s="10">
        <v>14873</v>
      </c>
      <c r="D81" s="10">
        <v>133857</v>
      </c>
      <c r="G81" s="7" t="s">
        <v>135</v>
      </c>
      <c r="H81" s="10">
        <v>182970</v>
      </c>
      <c r="I81"/>
      <c r="J81"/>
    </row>
    <row r="82" spans="1:10" x14ac:dyDescent="0.25">
      <c r="A82" s="7" t="s">
        <v>141</v>
      </c>
      <c r="B82" s="8">
        <v>7</v>
      </c>
      <c r="C82" s="10">
        <v>47833</v>
      </c>
      <c r="D82" s="10">
        <v>334831</v>
      </c>
      <c r="G82" s="7" t="s">
        <v>279</v>
      </c>
      <c r="H82" s="10">
        <v>105693</v>
      </c>
      <c r="I82"/>
      <c r="J82"/>
    </row>
    <row r="83" spans="1:10" x14ac:dyDescent="0.25">
      <c r="A83" s="7" t="s">
        <v>142</v>
      </c>
      <c r="B83" s="8">
        <v>9</v>
      </c>
      <c r="C83" s="10">
        <v>3936</v>
      </c>
      <c r="D83" s="10">
        <v>35424</v>
      </c>
      <c r="G83" s="7" t="s">
        <v>98</v>
      </c>
      <c r="H83" s="10">
        <v>436121</v>
      </c>
      <c r="I83"/>
      <c r="J83"/>
    </row>
    <row r="84" spans="1:10" x14ac:dyDescent="0.25">
      <c r="A84" s="7" t="s">
        <v>144</v>
      </c>
      <c r="B84" s="8">
        <v>8</v>
      </c>
      <c r="C84" s="10">
        <v>9254</v>
      </c>
      <c r="D84" s="10">
        <v>74032</v>
      </c>
      <c r="G84" s="7" t="s">
        <v>52</v>
      </c>
      <c r="H84" s="10">
        <v>352770</v>
      </c>
      <c r="I84"/>
      <c r="J84"/>
    </row>
    <row r="85" spans="1:10" x14ac:dyDescent="0.25">
      <c r="A85" s="7" t="s">
        <v>146</v>
      </c>
      <c r="B85" s="8">
        <v>1</v>
      </c>
      <c r="C85" s="10">
        <v>11177</v>
      </c>
      <c r="D85" s="10">
        <v>11177</v>
      </c>
      <c r="G85" s="7" t="s">
        <v>145</v>
      </c>
      <c r="H85" s="10">
        <v>297916</v>
      </c>
      <c r="I85"/>
      <c r="J85"/>
    </row>
    <row r="86" spans="1:10" x14ac:dyDescent="0.25">
      <c r="A86" s="7" t="s">
        <v>148</v>
      </c>
      <c r="B86" s="8">
        <v>8</v>
      </c>
      <c r="C86" s="10">
        <v>6395</v>
      </c>
      <c r="D86" s="10">
        <v>51160</v>
      </c>
      <c r="G86" s="7" t="s">
        <v>281</v>
      </c>
      <c r="H86" s="10">
        <v>160064</v>
      </c>
      <c r="I86"/>
      <c r="J86"/>
    </row>
    <row r="87" spans="1:10" x14ac:dyDescent="0.25">
      <c r="A87" s="7" t="s">
        <v>149</v>
      </c>
      <c r="B87" s="8">
        <v>8</v>
      </c>
      <c r="C87" s="10">
        <v>20238</v>
      </c>
      <c r="D87" s="10">
        <v>161904</v>
      </c>
      <c r="G87" s="7" t="s">
        <v>268</v>
      </c>
      <c r="H87" s="10">
        <v>95732</v>
      </c>
      <c r="I87"/>
      <c r="J87"/>
    </row>
    <row r="88" spans="1:10" x14ac:dyDescent="0.25">
      <c r="A88" s="7" t="s">
        <v>151</v>
      </c>
      <c r="B88" s="8">
        <v>3</v>
      </c>
      <c r="C88" s="10">
        <v>31246</v>
      </c>
      <c r="D88" s="10">
        <v>93738</v>
      </c>
      <c r="G88" s="7" t="s">
        <v>30</v>
      </c>
      <c r="H88" s="10">
        <v>565489</v>
      </c>
      <c r="I88"/>
      <c r="J88"/>
    </row>
    <row r="89" spans="1:10" x14ac:dyDescent="0.25">
      <c r="A89" s="7" t="s">
        <v>153</v>
      </c>
      <c r="B89" s="8">
        <v>1</v>
      </c>
      <c r="C89" s="10">
        <v>49877</v>
      </c>
      <c r="D89" s="10">
        <v>49877</v>
      </c>
      <c r="G89" s="7" t="s">
        <v>38</v>
      </c>
      <c r="H89" s="10">
        <v>378744</v>
      </c>
      <c r="I89"/>
      <c r="J89"/>
    </row>
    <row r="90" spans="1:10" x14ac:dyDescent="0.25">
      <c r="A90" s="7" t="s">
        <v>154</v>
      </c>
      <c r="B90" s="8">
        <v>8</v>
      </c>
      <c r="C90" s="10">
        <v>48904</v>
      </c>
      <c r="D90" s="10">
        <v>391232</v>
      </c>
      <c r="G90" s="7" t="s">
        <v>114</v>
      </c>
      <c r="H90" s="10">
        <v>105504</v>
      </c>
      <c r="I90"/>
      <c r="J90"/>
    </row>
    <row r="91" spans="1:10" x14ac:dyDescent="0.25">
      <c r="A91" s="7" t="s">
        <v>156</v>
      </c>
      <c r="B91" s="8">
        <v>3</v>
      </c>
      <c r="C91" s="10">
        <v>32852</v>
      </c>
      <c r="D91" s="10">
        <v>98556</v>
      </c>
      <c r="G91" s="7" t="s">
        <v>152</v>
      </c>
      <c r="H91" s="10">
        <v>199227</v>
      </c>
      <c r="I91"/>
      <c r="J91"/>
    </row>
    <row r="92" spans="1:10" x14ac:dyDescent="0.25">
      <c r="A92" s="7" t="s">
        <v>157</v>
      </c>
      <c r="B92" s="8">
        <v>3</v>
      </c>
      <c r="C92" s="10">
        <v>40290</v>
      </c>
      <c r="D92" s="10">
        <v>120870</v>
      </c>
      <c r="G92" s="7" t="s">
        <v>36</v>
      </c>
      <c r="H92" s="10">
        <v>632977</v>
      </c>
      <c r="I92"/>
      <c r="J92"/>
    </row>
    <row r="93" spans="1:10" x14ac:dyDescent="0.25">
      <c r="A93" s="7" t="s">
        <v>158</v>
      </c>
      <c r="B93" s="8">
        <v>1</v>
      </c>
      <c r="C93" s="10">
        <v>42419</v>
      </c>
      <c r="D93" s="10">
        <v>42419</v>
      </c>
      <c r="G93" s="7" t="s">
        <v>76</v>
      </c>
      <c r="H93" s="10">
        <v>925684</v>
      </c>
      <c r="I93"/>
      <c r="J93"/>
    </row>
    <row r="94" spans="1:10" x14ac:dyDescent="0.25">
      <c r="A94" s="7" t="s">
        <v>160</v>
      </c>
      <c r="B94" s="8">
        <v>5</v>
      </c>
      <c r="C94" s="10">
        <v>6100</v>
      </c>
      <c r="D94" s="10">
        <v>30500</v>
      </c>
      <c r="G94" s="7" t="s">
        <v>83</v>
      </c>
      <c r="H94" s="10">
        <v>577247</v>
      </c>
      <c r="I94"/>
      <c r="J94"/>
    </row>
    <row r="95" spans="1:10" x14ac:dyDescent="0.25">
      <c r="A95" s="7" t="s">
        <v>161</v>
      </c>
      <c r="B95" s="8">
        <v>7</v>
      </c>
      <c r="C95" s="10">
        <v>29624</v>
      </c>
      <c r="D95" s="10">
        <v>207368</v>
      </c>
      <c r="G95" s="7" t="s">
        <v>255</v>
      </c>
      <c r="H95" s="10">
        <v>303722</v>
      </c>
      <c r="I95"/>
      <c r="J95"/>
    </row>
    <row r="96" spans="1:10" x14ac:dyDescent="0.25">
      <c r="A96" s="7" t="s">
        <v>163</v>
      </c>
      <c r="B96" s="8">
        <v>9</v>
      </c>
      <c r="C96" s="10">
        <v>28143</v>
      </c>
      <c r="D96" s="10">
        <v>253287</v>
      </c>
      <c r="G96" s="7" t="s">
        <v>143</v>
      </c>
      <c r="H96" s="10">
        <v>435782</v>
      </c>
      <c r="I96"/>
      <c r="J96"/>
    </row>
    <row r="97" spans="1:10" x14ac:dyDescent="0.25">
      <c r="A97" s="7" t="s">
        <v>164</v>
      </c>
      <c r="B97" s="8">
        <v>7</v>
      </c>
      <c r="C97" s="10">
        <v>41264</v>
      </c>
      <c r="D97" s="10">
        <v>288848</v>
      </c>
      <c r="G97" s="7" t="s">
        <v>150</v>
      </c>
      <c r="H97" s="10">
        <v>812278</v>
      </c>
      <c r="I97"/>
      <c r="J97"/>
    </row>
    <row r="98" spans="1:10" x14ac:dyDescent="0.25">
      <c r="A98" s="7" t="s">
        <v>165</v>
      </c>
      <c r="B98" s="8">
        <v>9</v>
      </c>
      <c r="C98" s="10">
        <v>9507</v>
      </c>
      <c r="D98" s="10">
        <v>85563</v>
      </c>
      <c r="G98" s="7" t="s">
        <v>188</v>
      </c>
      <c r="H98" s="10">
        <v>4005</v>
      </c>
      <c r="I98"/>
      <c r="J98"/>
    </row>
    <row r="99" spans="1:10" x14ac:dyDescent="0.25">
      <c r="A99" s="7" t="s">
        <v>166</v>
      </c>
      <c r="B99" s="8">
        <v>8</v>
      </c>
      <c r="C99" s="10">
        <v>46214</v>
      </c>
      <c r="D99" s="10">
        <v>369712</v>
      </c>
      <c r="G99" s="7" t="s">
        <v>200</v>
      </c>
      <c r="H99" s="10">
        <v>175420</v>
      </c>
      <c r="I99"/>
      <c r="J99"/>
    </row>
    <row r="100" spans="1:10" x14ac:dyDescent="0.25">
      <c r="A100" s="7" t="s">
        <v>167</v>
      </c>
      <c r="B100" s="8">
        <v>2</v>
      </c>
      <c r="C100" s="10">
        <v>37910</v>
      </c>
      <c r="D100" s="10">
        <v>75820</v>
      </c>
      <c r="G100" s="7" t="s">
        <v>104</v>
      </c>
      <c r="H100" s="10">
        <v>287614</v>
      </c>
      <c r="I100"/>
      <c r="J100"/>
    </row>
    <row r="101" spans="1:10" x14ac:dyDescent="0.25">
      <c r="A101" s="7" t="s">
        <v>169</v>
      </c>
      <c r="B101" s="8">
        <v>1</v>
      </c>
      <c r="C101" s="10">
        <v>44580</v>
      </c>
      <c r="D101" s="10">
        <v>44580</v>
      </c>
      <c r="G101" s="7" t="s">
        <v>266</v>
      </c>
      <c r="H101" s="10">
        <v>31524</v>
      </c>
      <c r="I101"/>
      <c r="J101"/>
    </row>
    <row r="102" spans="1:10" x14ac:dyDescent="0.25">
      <c r="A102" s="7" t="s">
        <v>170</v>
      </c>
      <c r="B102" s="8">
        <v>7</v>
      </c>
      <c r="C102" s="10">
        <v>40947</v>
      </c>
      <c r="D102" s="10">
        <v>286629</v>
      </c>
      <c r="G102" s="7" t="s">
        <v>173</v>
      </c>
      <c r="H102" s="10">
        <v>161105</v>
      </c>
      <c r="I102"/>
      <c r="J102"/>
    </row>
    <row r="103" spans="1:10" x14ac:dyDescent="0.25">
      <c r="A103" s="7" t="s">
        <v>171</v>
      </c>
      <c r="B103" s="8">
        <v>7</v>
      </c>
      <c r="C103" s="10">
        <v>8708</v>
      </c>
      <c r="D103" s="10">
        <v>60956</v>
      </c>
      <c r="G103" s="7" t="s">
        <v>43</v>
      </c>
      <c r="H103" s="10">
        <v>336558</v>
      </c>
      <c r="I103"/>
      <c r="J103"/>
    </row>
    <row r="104" spans="1:10" x14ac:dyDescent="0.25">
      <c r="A104" s="7" t="s">
        <v>172</v>
      </c>
      <c r="B104" s="8">
        <v>8</v>
      </c>
      <c r="C104" s="10">
        <v>19089</v>
      </c>
      <c r="D104" s="10">
        <v>152712</v>
      </c>
      <c r="G104" s="7" t="s">
        <v>70</v>
      </c>
      <c r="H104" s="10">
        <v>656731</v>
      </c>
      <c r="I104"/>
      <c r="J104"/>
    </row>
    <row r="105" spans="1:10" x14ac:dyDescent="0.25">
      <c r="A105" s="7" t="s">
        <v>174</v>
      </c>
      <c r="B105" s="8">
        <v>5</v>
      </c>
      <c r="C105" s="10">
        <v>43984</v>
      </c>
      <c r="D105" s="10">
        <v>219920</v>
      </c>
      <c r="G105" s="7" t="s">
        <v>233</v>
      </c>
      <c r="H105" s="10">
        <v>196270</v>
      </c>
      <c r="I105"/>
      <c r="J105"/>
    </row>
    <row r="106" spans="1:10" x14ac:dyDescent="0.25">
      <c r="A106" s="7" t="s">
        <v>175</v>
      </c>
      <c r="B106" s="8">
        <v>3</v>
      </c>
      <c r="C106" s="10">
        <v>17953</v>
      </c>
      <c r="D106" s="10">
        <v>53859</v>
      </c>
      <c r="G106" s="7" t="s">
        <v>137</v>
      </c>
      <c r="H106" s="10">
        <v>161361</v>
      </c>
      <c r="I106"/>
      <c r="J106"/>
    </row>
    <row r="107" spans="1:10" x14ac:dyDescent="0.25">
      <c r="A107" s="7" t="s">
        <v>176</v>
      </c>
      <c r="B107" s="8">
        <v>8</v>
      </c>
      <c r="C107" s="10">
        <v>36712</v>
      </c>
      <c r="D107" s="10">
        <v>293696</v>
      </c>
      <c r="G107" s="7" t="s">
        <v>162</v>
      </c>
      <c r="H107" s="10">
        <v>207368</v>
      </c>
      <c r="I107"/>
      <c r="J107"/>
    </row>
    <row r="108" spans="1:10" x14ac:dyDescent="0.25">
      <c r="A108" s="7" t="s">
        <v>177</v>
      </c>
      <c r="B108" s="8">
        <v>6</v>
      </c>
      <c r="C108" s="10">
        <v>44025</v>
      </c>
      <c r="D108" s="10">
        <v>264150</v>
      </c>
      <c r="G108" s="7" t="s">
        <v>184</v>
      </c>
      <c r="H108" s="10">
        <v>98923</v>
      </c>
      <c r="I108"/>
      <c r="J108"/>
    </row>
    <row r="109" spans="1:10" x14ac:dyDescent="0.25">
      <c r="A109" s="7" t="s">
        <v>179</v>
      </c>
      <c r="B109" s="8">
        <v>3</v>
      </c>
      <c r="C109" s="10">
        <v>47702</v>
      </c>
      <c r="D109" s="10">
        <v>143106</v>
      </c>
      <c r="G109" s="7" t="s">
        <v>238</v>
      </c>
      <c r="H109" s="10">
        <v>143130</v>
      </c>
      <c r="I109"/>
      <c r="J109"/>
    </row>
    <row r="110" spans="1:10" x14ac:dyDescent="0.25">
      <c r="A110" s="7" t="s">
        <v>180</v>
      </c>
      <c r="B110" s="8">
        <v>1</v>
      </c>
      <c r="C110" s="10">
        <v>33135</v>
      </c>
      <c r="D110" s="10">
        <v>33135</v>
      </c>
      <c r="G110" s="7" t="s">
        <v>66</v>
      </c>
      <c r="H110" s="10">
        <v>413176</v>
      </c>
      <c r="I110"/>
      <c r="J110"/>
    </row>
    <row r="111" spans="1:10" x14ac:dyDescent="0.25">
      <c r="A111" s="7" t="s">
        <v>181</v>
      </c>
      <c r="B111" s="8">
        <v>3</v>
      </c>
      <c r="C111" s="10">
        <v>34328</v>
      </c>
      <c r="D111" s="10">
        <v>102984</v>
      </c>
      <c r="G111" s="7" t="s">
        <v>140</v>
      </c>
      <c r="H111" s="10">
        <v>254097</v>
      </c>
      <c r="I111"/>
      <c r="J111"/>
    </row>
    <row r="112" spans="1:10" x14ac:dyDescent="0.25">
      <c r="A112" s="7" t="s">
        <v>183</v>
      </c>
      <c r="B112" s="8">
        <v>5</v>
      </c>
      <c r="C112" s="10">
        <v>19211</v>
      </c>
      <c r="D112" s="10">
        <v>96055</v>
      </c>
      <c r="G112" s="7" t="s">
        <v>159</v>
      </c>
      <c r="H112" s="10">
        <v>42419</v>
      </c>
      <c r="I112"/>
      <c r="J112"/>
    </row>
    <row r="113" spans="1:10" x14ac:dyDescent="0.25">
      <c r="A113" s="7" t="s">
        <v>185</v>
      </c>
      <c r="B113" s="8">
        <v>3</v>
      </c>
      <c r="C113" s="10">
        <v>3920</v>
      </c>
      <c r="D113" s="10">
        <v>11760</v>
      </c>
      <c r="G113" s="7" t="s">
        <v>26</v>
      </c>
      <c r="H113" s="10">
        <v>160324</v>
      </c>
      <c r="I113"/>
      <c r="J113"/>
    </row>
    <row r="114" spans="1:10" x14ac:dyDescent="0.25">
      <c r="A114" s="7" t="s">
        <v>186</v>
      </c>
      <c r="B114" s="8">
        <v>1</v>
      </c>
      <c r="C114" s="10">
        <v>31716</v>
      </c>
      <c r="D114" s="10">
        <v>31716</v>
      </c>
      <c r="G114" s="7" t="s">
        <v>209</v>
      </c>
      <c r="H114" s="10">
        <v>92362</v>
      </c>
      <c r="I114"/>
      <c r="J114"/>
    </row>
    <row r="115" spans="1:10" x14ac:dyDescent="0.25">
      <c r="A115" s="7" t="s">
        <v>187</v>
      </c>
      <c r="B115" s="8">
        <v>5</v>
      </c>
      <c r="C115" s="10">
        <v>801</v>
      </c>
      <c r="D115" s="10">
        <v>4005</v>
      </c>
      <c r="G115" s="7" t="s">
        <v>61</v>
      </c>
      <c r="H115" s="10">
        <v>203688</v>
      </c>
      <c r="I115"/>
      <c r="J115"/>
    </row>
    <row r="116" spans="1:10" x14ac:dyDescent="0.25">
      <c r="A116" s="7" t="s">
        <v>189</v>
      </c>
      <c r="B116" s="8">
        <v>7</v>
      </c>
      <c r="C116" s="10">
        <v>45736</v>
      </c>
      <c r="D116" s="10">
        <v>320152</v>
      </c>
      <c r="G116" s="7" t="s">
        <v>213</v>
      </c>
      <c r="H116" s="10">
        <v>69558</v>
      </c>
      <c r="I116"/>
      <c r="J116"/>
    </row>
    <row r="117" spans="1:10" x14ac:dyDescent="0.25">
      <c r="A117" s="7" t="s">
        <v>190</v>
      </c>
      <c r="B117" s="8">
        <v>7</v>
      </c>
      <c r="C117" s="10">
        <v>1199</v>
      </c>
      <c r="D117" s="10">
        <v>8393</v>
      </c>
      <c r="G117" s="7" t="s">
        <v>46</v>
      </c>
      <c r="H117" s="10">
        <v>336457</v>
      </c>
      <c r="I117"/>
      <c r="J117"/>
    </row>
    <row r="118" spans="1:10" x14ac:dyDescent="0.25">
      <c r="A118" s="7" t="s">
        <v>191</v>
      </c>
      <c r="B118" s="8">
        <v>9</v>
      </c>
      <c r="C118" s="10">
        <v>690</v>
      </c>
      <c r="D118" s="10">
        <v>6210</v>
      </c>
      <c r="G118" s="7" t="s">
        <v>86</v>
      </c>
      <c r="H118" s="10">
        <v>128208</v>
      </c>
      <c r="I118"/>
      <c r="J118"/>
    </row>
    <row r="119" spans="1:10" x14ac:dyDescent="0.25">
      <c r="A119" s="7" t="s">
        <v>193</v>
      </c>
      <c r="B119" s="8">
        <v>3</v>
      </c>
      <c r="C119" s="10">
        <v>10992</v>
      </c>
      <c r="D119" s="10">
        <v>32976</v>
      </c>
      <c r="G119" s="7" t="s">
        <v>284</v>
      </c>
      <c r="H119" s="10">
        <v>295482</v>
      </c>
      <c r="I119"/>
      <c r="J119"/>
    </row>
    <row r="120" spans="1:10" x14ac:dyDescent="0.25">
      <c r="A120" s="7" t="s">
        <v>194</v>
      </c>
      <c r="B120" s="8">
        <v>7</v>
      </c>
      <c r="C120" s="10">
        <v>36243</v>
      </c>
      <c r="D120" s="10">
        <v>253701</v>
      </c>
      <c r="G120" s="7" t="s">
        <v>32</v>
      </c>
      <c r="H120" s="10">
        <v>157791</v>
      </c>
      <c r="I120"/>
      <c r="J120"/>
    </row>
    <row r="121" spans="1:10" x14ac:dyDescent="0.25">
      <c r="A121" s="7" t="s">
        <v>195</v>
      </c>
      <c r="B121" s="8">
        <v>1</v>
      </c>
      <c r="C121" s="10">
        <v>6602</v>
      </c>
      <c r="D121" s="10">
        <v>6602</v>
      </c>
      <c r="G121" s="7" t="s">
        <v>123</v>
      </c>
      <c r="H121" s="10">
        <v>348557</v>
      </c>
      <c r="I121"/>
      <c r="J121"/>
    </row>
    <row r="122" spans="1:10" x14ac:dyDescent="0.25">
      <c r="A122" s="7" t="s">
        <v>196</v>
      </c>
      <c r="B122" s="8">
        <v>4</v>
      </c>
      <c r="C122" s="10">
        <v>20278</v>
      </c>
      <c r="D122" s="10">
        <v>81112</v>
      </c>
      <c r="G122" s="7" t="s">
        <v>112</v>
      </c>
      <c r="H122" s="10">
        <v>168243</v>
      </c>
      <c r="I122"/>
      <c r="J122"/>
    </row>
    <row r="123" spans="1:10" x14ac:dyDescent="0.25">
      <c r="A123" s="7" t="s">
        <v>198</v>
      </c>
      <c r="B123" s="8">
        <v>4</v>
      </c>
      <c r="C123" s="10">
        <v>27141</v>
      </c>
      <c r="D123" s="10">
        <v>108564</v>
      </c>
      <c r="G123" s="7" t="s">
        <v>102</v>
      </c>
      <c r="H123" s="10">
        <v>49876</v>
      </c>
      <c r="I123"/>
      <c r="J123"/>
    </row>
    <row r="124" spans="1:10" x14ac:dyDescent="0.25">
      <c r="A124" s="7" t="s">
        <v>199</v>
      </c>
      <c r="B124" s="8">
        <v>5</v>
      </c>
      <c r="C124" s="10">
        <v>35084</v>
      </c>
      <c r="D124" s="10">
        <v>175420</v>
      </c>
      <c r="G124" s="7" t="s">
        <v>121</v>
      </c>
      <c r="H124" s="10">
        <v>275888</v>
      </c>
      <c r="I124"/>
      <c r="J124"/>
    </row>
    <row r="125" spans="1:10" x14ac:dyDescent="0.25">
      <c r="A125" s="7" t="s">
        <v>201</v>
      </c>
      <c r="B125" s="8">
        <v>7</v>
      </c>
      <c r="C125" s="10">
        <v>33245</v>
      </c>
      <c r="D125" s="10">
        <v>232715</v>
      </c>
      <c r="G125" s="7" t="s">
        <v>58</v>
      </c>
      <c r="H125" s="10">
        <v>592433</v>
      </c>
      <c r="I125"/>
      <c r="J125"/>
    </row>
    <row r="126" spans="1:10" x14ac:dyDescent="0.25">
      <c r="A126" s="7" t="s">
        <v>202</v>
      </c>
      <c r="B126" s="8">
        <v>7</v>
      </c>
      <c r="C126" s="10">
        <v>23593</v>
      </c>
      <c r="D126" s="10">
        <v>165151</v>
      </c>
      <c r="G126" s="7" t="s">
        <v>80</v>
      </c>
      <c r="H126" s="10">
        <v>531572</v>
      </c>
      <c r="I126"/>
      <c r="J126"/>
    </row>
    <row r="127" spans="1:10" x14ac:dyDescent="0.25">
      <c r="A127" s="7" t="s">
        <v>203</v>
      </c>
      <c r="B127" s="8">
        <v>4</v>
      </c>
      <c r="C127" s="10">
        <v>1069</v>
      </c>
      <c r="D127" s="10">
        <v>4276</v>
      </c>
      <c r="G127" s="7" t="s">
        <v>117</v>
      </c>
      <c r="H127" s="10">
        <v>139246</v>
      </c>
      <c r="I127"/>
      <c r="J127"/>
    </row>
    <row r="128" spans="1:10" x14ac:dyDescent="0.25">
      <c r="A128" s="7" t="s">
        <v>204</v>
      </c>
      <c r="B128" s="8">
        <v>7</v>
      </c>
      <c r="C128" s="10">
        <v>38710</v>
      </c>
      <c r="D128" s="10">
        <v>270970</v>
      </c>
      <c r="G128" s="7" t="s">
        <v>262</v>
      </c>
      <c r="H128" s="10">
        <v>626245</v>
      </c>
      <c r="I128"/>
      <c r="J128"/>
    </row>
    <row r="129" spans="1:10" x14ac:dyDescent="0.25">
      <c r="A129" s="7" t="s">
        <v>206</v>
      </c>
      <c r="B129" s="8">
        <v>3</v>
      </c>
      <c r="C129" s="10">
        <v>35163</v>
      </c>
      <c r="D129" s="10">
        <v>105489</v>
      </c>
      <c r="G129" s="7" t="s">
        <v>34</v>
      </c>
      <c r="H129" s="10">
        <v>186639</v>
      </c>
      <c r="I129"/>
      <c r="J129"/>
    </row>
    <row r="130" spans="1:10" x14ac:dyDescent="0.25">
      <c r="A130" s="7" t="s">
        <v>207</v>
      </c>
      <c r="B130" s="8">
        <v>6</v>
      </c>
      <c r="C130" s="10">
        <v>37131</v>
      </c>
      <c r="D130" s="10">
        <v>222786</v>
      </c>
      <c r="G130" s="7" t="s">
        <v>63</v>
      </c>
      <c r="H130" s="10">
        <v>30355</v>
      </c>
      <c r="I130"/>
      <c r="J130"/>
    </row>
    <row r="131" spans="1:10" x14ac:dyDescent="0.25">
      <c r="A131" s="7" t="s">
        <v>208</v>
      </c>
      <c r="B131" s="8">
        <v>2</v>
      </c>
      <c r="C131" s="10">
        <v>46181</v>
      </c>
      <c r="D131" s="10">
        <v>92362</v>
      </c>
      <c r="G131" s="7" t="s">
        <v>182</v>
      </c>
      <c r="H131" s="10">
        <v>135960</v>
      </c>
      <c r="I131"/>
      <c r="J131"/>
    </row>
    <row r="132" spans="1:10" x14ac:dyDescent="0.25">
      <c r="A132" s="7" t="s">
        <v>210</v>
      </c>
      <c r="B132" s="8">
        <v>9</v>
      </c>
      <c r="C132" s="10">
        <v>7955</v>
      </c>
      <c r="D132" s="10">
        <v>71595</v>
      </c>
      <c r="G132" s="7" t="s">
        <v>23</v>
      </c>
      <c r="H132" s="10">
        <v>688922</v>
      </c>
      <c r="I132"/>
      <c r="J132"/>
    </row>
    <row r="133" spans="1:10" x14ac:dyDescent="0.25">
      <c r="A133" s="7" t="s">
        <v>211</v>
      </c>
      <c r="B133" s="8">
        <v>5</v>
      </c>
      <c r="C133" s="10">
        <v>4514</v>
      </c>
      <c r="D133" s="10">
        <v>22570</v>
      </c>
      <c r="G133" s="7" t="s">
        <v>125</v>
      </c>
      <c r="H133" s="10">
        <v>47115</v>
      </c>
      <c r="I133"/>
      <c r="J133"/>
    </row>
    <row r="134" spans="1:10" x14ac:dyDescent="0.25">
      <c r="A134" s="7" t="s">
        <v>212</v>
      </c>
      <c r="B134" s="8">
        <v>6</v>
      </c>
      <c r="C134" s="10">
        <v>11593</v>
      </c>
      <c r="D134" s="10">
        <v>69558</v>
      </c>
      <c r="G134" s="7" t="s">
        <v>168</v>
      </c>
      <c r="H134" s="10">
        <v>75820</v>
      </c>
      <c r="I134"/>
      <c r="J134"/>
    </row>
    <row r="135" spans="1:10" x14ac:dyDescent="0.25">
      <c r="A135" s="7" t="s">
        <v>214</v>
      </c>
      <c r="B135" s="8">
        <v>4</v>
      </c>
      <c r="C135" s="10">
        <v>18570</v>
      </c>
      <c r="D135" s="10">
        <v>74280</v>
      </c>
      <c r="G135" s="7" t="s">
        <v>40</v>
      </c>
      <c r="H135" s="10">
        <v>94695</v>
      </c>
      <c r="I135"/>
      <c r="J135"/>
    </row>
    <row r="136" spans="1:10" x14ac:dyDescent="0.25">
      <c r="A136" s="7" t="s">
        <v>215</v>
      </c>
      <c r="B136" s="8">
        <v>7</v>
      </c>
      <c r="C136" s="10">
        <v>36277</v>
      </c>
      <c r="D136" s="10">
        <v>253939</v>
      </c>
      <c r="G136" s="7" t="s">
        <v>308</v>
      </c>
      <c r="H136" s="10">
        <v>76890</v>
      </c>
      <c r="I136"/>
      <c r="J136"/>
    </row>
    <row r="137" spans="1:10" x14ac:dyDescent="0.25">
      <c r="A137" s="7" t="s">
        <v>216</v>
      </c>
      <c r="B137" s="8">
        <v>9</v>
      </c>
      <c r="C137" s="10">
        <v>17038</v>
      </c>
      <c r="D137" s="10">
        <v>153342</v>
      </c>
      <c r="G137" s="7" t="s">
        <v>108</v>
      </c>
      <c r="H137" s="10">
        <v>283187</v>
      </c>
      <c r="I137"/>
      <c r="J137"/>
    </row>
    <row r="138" spans="1:10" x14ac:dyDescent="0.25">
      <c r="A138" s="7" t="s">
        <v>217</v>
      </c>
      <c r="B138" s="8">
        <v>7</v>
      </c>
      <c r="C138" s="10">
        <v>11229</v>
      </c>
      <c r="D138" s="10">
        <v>78603</v>
      </c>
      <c r="G138" s="7" t="s">
        <v>132</v>
      </c>
      <c r="H138" s="10">
        <v>206590</v>
      </c>
      <c r="I138"/>
      <c r="J138"/>
    </row>
    <row r="139" spans="1:10" x14ac:dyDescent="0.25">
      <c r="A139" s="7" t="s">
        <v>218</v>
      </c>
      <c r="B139" s="8">
        <v>1</v>
      </c>
      <c r="C139" s="10">
        <v>34677</v>
      </c>
      <c r="D139" s="10">
        <v>34677</v>
      </c>
      <c r="G139" s="7" t="s">
        <v>155</v>
      </c>
      <c r="H139" s="10">
        <v>874464</v>
      </c>
      <c r="I139"/>
      <c r="J139"/>
    </row>
    <row r="140" spans="1:10" x14ac:dyDescent="0.25">
      <c r="A140" s="7" t="s">
        <v>219</v>
      </c>
      <c r="B140" s="8">
        <v>1</v>
      </c>
      <c r="C140" s="10">
        <v>45517</v>
      </c>
      <c r="D140" s="10">
        <v>45517</v>
      </c>
      <c r="G140" s="7" t="s">
        <v>50</v>
      </c>
      <c r="H140" s="10">
        <v>98680</v>
      </c>
      <c r="I140"/>
      <c r="J140"/>
    </row>
    <row r="141" spans="1:10" x14ac:dyDescent="0.25">
      <c r="A141" s="7" t="s">
        <v>220</v>
      </c>
      <c r="B141" s="8">
        <v>9</v>
      </c>
      <c r="C141" s="10">
        <v>1284</v>
      </c>
      <c r="D141" s="10">
        <v>11556</v>
      </c>
      <c r="G141" s="7" t="s">
        <v>110</v>
      </c>
      <c r="H141" s="10">
        <v>747684</v>
      </c>
      <c r="I141"/>
      <c r="J141"/>
    </row>
    <row r="142" spans="1:10" x14ac:dyDescent="0.25">
      <c r="A142" s="7" t="s">
        <v>222</v>
      </c>
      <c r="B142" s="8">
        <v>9</v>
      </c>
      <c r="C142" s="10">
        <v>28251</v>
      </c>
      <c r="D142" s="10">
        <v>254259</v>
      </c>
      <c r="G142" s="7" t="s">
        <v>9</v>
      </c>
      <c r="H142" s="10">
        <v>689102</v>
      </c>
      <c r="I142"/>
      <c r="J142"/>
    </row>
    <row r="143" spans="1:10" x14ac:dyDescent="0.25">
      <c r="A143" s="7" t="s">
        <v>223</v>
      </c>
      <c r="B143" s="8">
        <v>4</v>
      </c>
      <c r="C143" s="10">
        <v>41364</v>
      </c>
      <c r="D143" s="10">
        <v>165456</v>
      </c>
      <c r="G143" s="7" t="s">
        <v>248</v>
      </c>
      <c r="H143" s="10">
        <v>82882</v>
      </c>
      <c r="I143"/>
      <c r="J143"/>
    </row>
    <row r="144" spans="1:10" x14ac:dyDescent="0.25">
      <c r="A144" s="7" t="s">
        <v>224</v>
      </c>
      <c r="B144" s="8">
        <v>9</v>
      </c>
      <c r="C144" s="10">
        <v>40828</v>
      </c>
      <c r="D144" s="10">
        <v>367452</v>
      </c>
      <c r="G144" s="7" t="s">
        <v>221</v>
      </c>
      <c r="H144" s="10">
        <v>37017</v>
      </c>
      <c r="I144"/>
      <c r="J144"/>
    </row>
    <row r="145" spans="1:10" x14ac:dyDescent="0.25">
      <c r="A145" s="7" t="s">
        <v>226</v>
      </c>
      <c r="B145" s="8">
        <v>3</v>
      </c>
      <c r="C145" s="10">
        <v>13033</v>
      </c>
      <c r="D145" s="10">
        <v>39099</v>
      </c>
      <c r="G145" s="7" t="s">
        <v>275</v>
      </c>
      <c r="H145" s="10">
        <v>17946</v>
      </c>
      <c r="I145"/>
      <c r="J145"/>
    </row>
    <row r="146" spans="1:10" x14ac:dyDescent="0.25">
      <c r="A146" s="7" t="s">
        <v>227</v>
      </c>
      <c r="B146" s="8">
        <v>7</v>
      </c>
      <c r="C146" s="10">
        <v>40611</v>
      </c>
      <c r="D146" s="10">
        <v>284277</v>
      </c>
      <c r="G146" s="7" t="s">
        <v>100</v>
      </c>
      <c r="H146" s="10">
        <v>275144</v>
      </c>
      <c r="I146"/>
      <c r="J146"/>
    </row>
    <row r="147" spans="1:10" x14ac:dyDescent="0.25">
      <c r="A147" s="7" t="s">
        <v>228</v>
      </c>
      <c r="B147" s="8">
        <v>6</v>
      </c>
      <c r="C147" s="10">
        <v>40474</v>
      </c>
      <c r="D147" s="10">
        <v>242844</v>
      </c>
      <c r="G147" s="7" t="s">
        <v>13</v>
      </c>
      <c r="H147" s="10">
        <v>116925</v>
      </c>
      <c r="I147"/>
      <c r="J147"/>
    </row>
    <row r="148" spans="1:10" x14ac:dyDescent="0.25">
      <c r="A148" s="7" t="s">
        <v>230</v>
      </c>
      <c r="B148" s="8">
        <v>8</v>
      </c>
      <c r="C148" s="10">
        <v>6301</v>
      </c>
      <c r="D148" s="10">
        <v>50408</v>
      </c>
      <c r="G148" s="7" t="s">
        <v>225</v>
      </c>
      <c r="H148" s="10">
        <v>367452</v>
      </c>
      <c r="I148"/>
      <c r="J148"/>
    </row>
    <row r="149" spans="1:10" x14ac:dyDescent="0.25">
      <c r="A149" s="7" t="s">
        <v>231</v>
      </c>
      <c r="B149" s="8">
        <v>9</v>
      </c>
      <c r="C149" s="10">
        <v>19690</v>
      </c>
      <c r="D149" s="10">
        <v>177210</v>
      </c>
      <c r="G149" s="7" t="s">
        <v>197</v>
      </c>
      <c r="H149" s="10">
        <v>433821</v>
      </c>
      <c r="I149"/>
      <c r="J149"/>
    </row>
    <row r="150" spans="1:10" x14ac:dyDescent="0.25">
      <c r="A150" s="7" t="s">
        <v>232</v>
      </c>
      <c r="B150" s="8">
        <v>5</v>
      </c>
      <c r="C150" s="10">
        <v>39254</v>
      </c>
      <c r="D150" s="10">
        <v>196270</v>
      </c>
      <c r="G150" s="7" t="s">
        <v>240</v>
      </c>
      <c r="H150" s="10">
        <v>180072</v>
      </c>
      <c r="I150"/>
      <c r="J150"/>
    </row>
    <row r="151" spans="1:10" x14ac:dyDescent="0.25">
      <c r="A151" s="7" t="s">
        <v>234</v>
      </c>
      <c r="B151" s="8">
        <v>1</v>
      </c>
      <c r="C151" s="10">
        <v>30092</v>
      </c>
      <c r="D151" s="10">
        <v>30092</v>
      </c>
      <c r="G151" s="7" t="s">
        <v>147</v>
      </c>
      <c r="H151" s="10">
        <v>85457</v>
      </c>
      <c r="I151"/>
      <c r="J151"/>
    </row>
    <row r="152" spans="1:10" x14ac:dyDescent="0.25">
      <c r="A152" s="7" t="s">
        <v>235</v>
      </c>
      <c r="B152" s="8">
        <v>3</v>
      </c>
      <c r="C152" s="10">
        <v>11147</v>
      </c>
      <c r="D152" s="10">
        <v>33441</v>
      </c>
      <c r="G152" s="7" t="s">
        <v>17</v>
      </c>
      <c r="H152" s="10">
        <v>508138</v>
      </c>
      <c r="I152"/>
      <c r="J152"/>
    </row>
    <row r="153" spans="1:10" x14ac:dyDescent="0.25">
      <c r="A153" s="7" t="s">
        <v>236</v>
      </c>
      <c r="B153" s="8">
        <v>8</v>
      </c>
      <c r="C153" s="10">
        <v>9216</v>
      </c>
      <c r="D153" s="10">
        <v>73728</v>
      </c>
      <c r="G153" s="7" t="s">
        <v>270</v>
      </c>
      <c r="H153" s="10">
        <v>15831</v>
      </c>
      <c r="I153"/>
      <c r="J153"/>
    </row>
    <row r="154" spans="1:10" x14ac:dyDescent="0.25">
      <c r="A154" s="7" t="s">
        <v>237</v>
      </c>
      <c r="B154" s="8">
        <v>6</v>
      </c>
      <c r="C154" s="10">
        <v>23855</v>
      </c>
      <c r="D154" s="10">
        <v>143130</v>
      </c>
      <c r="G154" s="7" t="s">
        <v>311</v>
      </c>
      <c r="H154" s="10">
        <v>25278148</v>
      </c>
      <c r="I154"/>
      <c r="J154"/>
    </row>
    <row r="155" spans="1:10" x14ac:dyDescent="0.25">
      <c r="A155" s="7" t="s">
        <v>239</v>
      </c>
      <c r="B155" s="8">
        <v>8</v>
      </c>
      <c r="C155" s="10">
        <v>22509</v>
      </c>
      <c r="D155" s="10">
        <v>180072</v>
      </c>
    </row>
    <row r="156" spans="1:10" x14ac:dyDescent="0.25">
      <c r="A156" s="7" t="s">
        <v>241</v>
      </c>
      <c r="B156" s="8">
        <v>9</v>
      </c>
      <c r="C156" s="10">
        <v>24876</v>
      </c>
      <c r="D156" s="10">
        <v>223884</v>
      </c>
    </row>
    <row r="157" spans="1:10" x14ac:dyDescent="0.25">
      <c r="A157" s="7" t="s">
        <v>242</v>
      </c>
      <c r="B157" s="8">
        <v>4</v>
      </c>
      <c r="C157" s="10">
        <v>45591</v>
      </c>
      <c r="D157" s="10">
        <v>182364</v>
      </c>
    </row>
    <row r="158" spans="1:10" x14ac:dyDescent="0.25">
      <c r="A158" s="7" t="s">
        <v>243</v>
      </c>
      <c r="B158" s="8">
        <v>1</v>
      </c>
      <c r="C158" s="10">
        <v>5280</v>
      </c>
      <c r="D158" s="10">
        <v>5280</v>
      </c>
    </row>
    <row r="159" spans="1:10" x14ac:dyDescent="0.25">
      <c r="A159" s="7" t="s">
        <v>244</v>
      </c>
      <c r="B159" s="8">
        <v>1</v>
      </c>
      <c r="C159" s="10">
        <v>2868</v>
      </c>
      <c r="D159" s="10">
        <v>2868</v>
      </c>
    </row>
    <row r="160" spans="1:10" x14ac:dyDescent="0.25">
      <c r="A160" s="7" t="s">
        <v>245</v>
      </c>
      <c r="B160" s="8">
        <v>4</v>
      </c>
      <c r="C160" s="10">
        <v>12539</v>
      </c>
      <c r="D160" s="10">
        <v>50156</v>
      </c>
    </row>
    <row r="161" spans="1:4" x14ac:dyDescent="0.25">
      <c r="A161" s="7" t="s">
        <v>246</v>
      </c>
      <c r="B161" s="8">
        <v>7</v>
      </c>
      <c r="C161" s="10">
        <v>7155</v>
      </c>
      <c r="D161" s="10">
        <v>50085</v>
      </c>
    </row>
    <row r="162" spans="1:4" x14ac:dyDescent="0.25">
      <c r="A162" s="7" t="s">
        <v>247</v>
      </c>
      <c r="B162" s="8">
        <v>2</v>
      </c>
      <c r="C162" s="10">
        <v>41441</v>
      </c>
      <c r="D162" s="10">
        <v>82882</v>
      </c>
    </row>
    <row r="163" spans="1:4" x14ac:dyDescent="0.25">
      <c r="A163" s="7" t="s">
        <v>249</v>
      </c>
      <c r="B163" s="8">
        <v>3</v>
      </c>
      <c r="C163" s="10">
        <v>4995</v>
      </c>
      <c r="D163" s="10">
        <v>14985</v>
      </c>
    </row>
    <row r="164" spans="1:4" x14ac:dyDescent="0.25">
      <c r="A164" s="7" t="s">
        <v>250</v>
      </c>
      <c r="B164" s="8">
        <v>1</v>
      </c>
      <c r="C164" s="10">
        <v>11393</v>
      </c>
      <c r="D164" s="10">
        <v>11393</v>
      </c>
    </row>
    <row r="165" spans="1:4" x14ac:dyDescent="0.25">
      <c r="A165" s="7" t="s">
        <v>252</v>
      </c>
      <c r="B165" s="8">
        <v>5</v>
      </c>
      <c r="C165" s="10">
        <v>26047</v>
      </c>
      <c r="D165" s="10">
        <v>130235</v>
      </c>
    </row>
    <row r="166" spans="1:4" x14ac:dyDescent="0.25">
      <c r="A166" s="7" t="s">
        <v>253</v>
      </c>
      <c r="B166" s="8">
        <v>1</v>
      </c>
      <c r="C166" s="10">
        <v>22886</v>
      </c>
      <c r="D166" s="10">
        <v>22886</v>
      </c>
    </row>
    <row r="167" spans="1:4" x14ac:dyDescent="0.25">
      <c r="A167" s="7" t="s">
        <v>254</v>
      </c>
      <c r="B167" s="8">
        <v>8</v>
      </c>
      <c r="C167" s="10">
        <v>13903</v>
      </c>
      <c r="D167" s="10">
        <v>111224</v>
      </c>
    </row>
    <row r="168" spans="1:4" x14ac:dyDescent="0.25">
      <c r="A168" s="7" t="s">
        <v>256</v>
      </c>
      <c r="B168" s="8">
        <v>1</v>
      </c>
      <c r="C168" s="10">
        <v>32597</v>
      </c>
      <c r="D168" s="10">
        <v>32597</v>
      </c>
    </row>
    <row r="169" spans="1:4" x14ac:dyDescent="0.25">
      <c r="A169" s="7" t="s">
        <v>257</v>
      </c>
      <c r="B169" s="8">
        <v>1</v>
      </c>
      <c r="C169" s="10">
        <v>13621</v>
      </c>
      <c r="D169" s="10">
        <v>13621</v>
      </c>
    </row>
    <row r="170" spans="1:4" x14ac:dyDescent="0.25">
      <c r="A170" s="7" t="s">
        <v>258</v>
      </c>
      <c r="B170" s="8">
        <v>2</v>
      </c>
      <c r="C170" s="10">
        <v>11466</v>
      </c>
      <c r="D170" s="10">
        <v>22932</v>
      </c>
    </row>
    <row r="171" spans="1:4" x14ac:dyDescent="0.25">
      <c r="A171" s="7" t="s">
        <v>260</v>
      </c>
      <c r="B171" s="8">
        <v>2</v>
      </c>
      <c r="C171" s="10">
        <v>34121</v>
      </c>
      <c r="D171" s="10">
        <v>68242</v>
      </c>
    </row>
    <row r="172" spans="1:4" x14ac:dyDescent="0.25">
      <c r="A172" s="7" t="s">
        <v>261</v>
      </c>
      <c r="B172" s="8">
        <v>6</v>
      </c>
      <c r="C172" s="10">
        <v>28812</v>
      </c>
      <c r="D172" s="10">
        <v>172872</v>
      </c>
    </row>
    <row r="173" spans="1:4" x14ac:dyDescent="0.25">
      <c r="A173" s="7" t="s">
        <v>263</v>
      </c>
      <c r="B173" s="8">
        <v>7</v>
      </c>
      <c r="C173" s="10">
        <v>23177</v>
      </c>
      <c r="D173" s="10">
        <v>162239</v>
      </c>
    </row>
    <row r="174" spans="1:4" x14ac:dyDescent="0.25">
      <c r="A174" s="7" t="s">
        <v>264</v>
      </c>
      <c r="B174" s="8">
        <v>5</v>
      </c>
      <c r="C174" s="10">
        <v>31789</v>
      </c>
      <c r="D174" s="10">
        <v>158945</v>
      </c>
    </row>
    <row r="175" spans="1:4" x14ac:dyDescent="0.25">
      <c r="A175" s="7" t="s">
        <v>265</v>
      </c>
      <c r="B175" s="8">
        <v>1</v>
      </c>
      <c r="C175" s="10">
        <v>31524</v>
      </c>
      <c r="D175" s="10">
        <v>31524</v>
      </c>
    </row>
    <row r="176" spans="1:4" x14ac:dyDescent="0.25">
      <c r="A176" s="7" t="s">
        <v>267</v>
      </c>
      <c r="B176" s="8">
        <v>1</v>
      </c>
      <c r="C176" s="10">
        <v>43175</v>
      </c>
      <c r="D176" s="10">
        <v>43175</v>
      </c>
    </row>
    <row r="177" spans="1:4" x14ac:dyDescent="0.25">
      <c r="A177" s="7" t="s">
        <v>269</v>
      </c>
      <c r="B177" s="8">
        <v>3</v>
      </c>
      <c r="C177" s="10">
        <v>5277</v>
      </c>
      <c r="D177" s="10">
        <v>15831</v>
      </c>
    </row>
    <row r="178" spans="1:4" x14ac:dyDescent="0.25">
      <c r="A178" s="7" t="s">
        <v>271</v>
      </c>
      <c r="B178" s="8">
        <v>2</v>
      </c>
      <c r="C178" s="10">
        <v>30249</v>
      </c>
      <c r="D178" s="10">
        <v>60498</v>
      </c>
    </row>
    <row r="179" spans="1:4" x14ac:dyDescent="0.25">
      <c r="A179" s="7" t="s">
        <v>273</v>
      </c>
      <c r="B179" s="8">
        <v>5</v>
      </c>
      <c r="C179" s="10">
        <v>15838</v>
      </c>
      <c r="D179" s="10">
        <v>79190</v>
      </c>
    </row>
    <row r="180" spans="1:4" x14ac:dyDescent="0.25">
      <c r="A180" s="7" t="s">
        <v>274</v>
      </c>
      <c r="B180" s="8">
        <v>6</v>
      </c>
      <c r="C180" s="10">
        <v>2991</v>
      </c>
      <c r="D180" s="10">
        <v>17946</v>
      </c>
    </row>
    <row r="181" spans="1:4" x14ac:dyDescent="0.25">
      <c r="A181" s="7" t="s">
        <v>276</v>
      </c>
      <c r="B181" s="8">
        <v>7</v>
      </c>
      <c r="C181" s="10">
        <v>27736</v>
      </c>
      <c r="D181" s="10">
        <v>194152</v>
      </c>
    </row>
    <row r="182" spans="1:4" x14ac:dyDescent="0.25">
      <c r="A182" s="7" t="s">
        <v>277</v>
      </c>
      <c r="B182" s="8">
        <v>4</v>
      </c>
      <c r="C182" s="10">
        <v>48596</v>
      </c>
      <c r="D182" s="10">
        <v>194384</v>
      </c>
    </row>
    <row r="183" spans="1:4" x14ac:dyDescent="0.25">
      <c r="A183" s="7" t="s">
        <v>278</v>
      </c>
      <c r="B183" s="8">
        <v>7</v>
      </c>
      <c r="C183" s="10">
        <v>15099</v>
      </c>
      <c r="D183" s="10">
        <v>105693</v>
      </c>
    </row>
    <row r="184" spans="1:4" x14ac:dyDescent="0.25">
      <c r="A184" s="7" t="s">
        <v>280</v>
      </c>
      <c r="B184" s="8">
        <v>8</v>
      </c>
      <c r="C184" s="10">
        <v>20008</v>
      </c>
      <c r="D184" s="10">
        <v>160064</v>
      </c>
    </row>
    <row r="185" spans="1:4" x14ac:dyDescent="0.25">
      <c r="A185" s="7" t="s">
        <v>282</v>
      </c>
      <c r="B185" s="8">
        <v>1</v>
      </c>
      <c r="C185" s="10">
        <v>3551</v>
      </c>
      <c r="D185" s="10">
        <v>3551</v>
      </c>
    </row>
    <row r="186" spans="1:4" x14ac:dyDescent="0.25">
      <c r="A186" s="7" t="s">
        <v>283</v>
      </c>
      <c r="B186" s="8">
        <v>6</v>
      </c>
      <c r="C186" s="10">
        <v>49247</v>
      </c>
      <c r="D186" s="10">
        <v>295482</v>
      </c>
    </row>
    <row r="187" spans="1:4" x14ac:dyDescent="0.25">
      <c r="A187" s="7" t="s">
        <v>285</v>
      </c>
      <c r="B187" s="8">
        <v>8</v>
      </c>
      <c r="C187" s="10">
        <v>49656</v>
      </c>
      <c r="D187" s="10">
        <v>397248</v>
      </c>
    </row>
    <row r="188" spans="1:4" x14ac:dyDescent="0.25">
      <c r="A188" s="7" t="s">
        <v>286</v>
      </c>
      <c r="B188" s="8">
        <v>5</v>
      </c>
      <c r="C188" s="10">
        <v>22106</v>
      </c>
      <c r="D188" s="10">
        <v>110530</v>
      </c>
    </row>
    <row r="189" spans="1:4" x14ac:dyDescent="0.25">
      <c r="A189" s="7" t="s">
        <v>287</v>
      </c>
      <c r="B189" s="8">
        <v>4</v>
      </c>
      <c r="C189" s="10">
        <v>22199</v>
      </c>
      <c r="D189" s="10">
        <v>88796</v>
      </c>
    </row>
    <row r="190" spans="1:4" x14ac:dyDescent="0.25">
      <c r="A190" s="7" t="s">
        <v>288</v>
      </c>
      <c r="B190" s="8">
        <v>2</v>
      </c>
      <c r="C190" s="10">
        <v>1376</v>
      </c>
      <c r="D190" s="10">
        <v>2752</v>
      </c>
    </row>
    <row r="191" spans="1:4" x14ac:dyDescent="0.25">
      <c r="A191" s="7" t="s">
        <v>289</v>
      </c>
      <c r="B191" s="8">
        <v>6</v>
      </c>
      <c r="C191" s="10">
        <v>32593</v>
      </c>
      <c r="D191" s="10">
        <v>195558</v>
      </c>
    </row>
    <row r="192" spans="1:4" x14ac:dyDescent="0.25">
      <c r="A192" s="7" t="s">
        <v>290</v>
      </c>
      <c r="B192" s="8">
        <v>6</v>
      </c>
      <c r="C192" s="10">
        <v>4642</v>
      </c>
      <c r="D192" s="10">
        <v>27852</v>
      </c>
    </row>
    <row r="193" spans="1:4" x14ac:dyDescent="0.25">
      <c r="A193" s="7" t="s">
        <v>291</v>
      </c>
      <c r="B193" s="8">
        <v>1</v>
      </c>
      <c r="C193" s="10">
        <v>15702</v>
      </c>
      <c r="D193" s="10">
        <v>15702</v>
      </c>
    </row>
    <row r="194" spans="1:4" x14ac:dyDescent="0.25">
      <c r="A194" s="7" t="s">
        <v>292</v>
      </c>
      <c r="B194" s="8">
        <v>9</v>
      </c>
      <c r="C194" s="10">
        <v>40234</v>
      </c>
      <c r="D194" s="10">
        <v>362106</v>
      </c>
    </row>
    <row r="195" spans="1:4" x14ac:dyDescent="0.25">
      <c r="A195" s="7" t="s">
        <v>293</v>
      </c>
      <c r="B195" s="8">
        <v>6</v>
      </c>
      <c r="C195" s="10">
        <v>7579</v>
      </c>
      <c r="D195" s="10">
        <v>45474</v>
      </c>
    </row>
    <row r="196" spans="1:4" x14ac:dyDescent="0.25">
      <c r="A196" s="7" t="s">
        <v>294</v>
      </c>
      <c r="B196" s="8">
        <v>3</v>
      </c>
      <c r="C196" s="10">
        <v>8487</v>
      </c>
      <c r="D196" s="10">
        <v>25461</v>
      </c>
    </row>
    <row r="197" spans="1:4" x14ac:dyDescent="0.25">
      <c r="A197" s="7" t="s">
        <v>295</v>
      </c>
      <c r="B197" s="8">
        <v>4</v>
      </c>
      <c r="C197" s="10">
        <v>40067</v>
      </c>
      <c r="D197" s="10">
        <v>160268</v>
      </c>
    </row>
    <row r="198" spans="1:4" x14ac:dyDescent="0.25">
      <c r="A198" s="7" t="s">
        <v>296</v>
      </c>
      <c r="B198" s="8">
        <v>4</v>
      </c>
      <c r="C198" s="10">
        <v>29440</v>
      </c>
      <c r="D198" s="10">
        <v>117760</v>
      </c>
    </row>
    <row r="199" spans="1:4" x14ac:dyDescent="0.25">
      <c r="A199" s="7" t="s">
        <v>297</v>
      </c>
      <c r="B199" s="8">
        <v>3</v>
      </c>
      <c r="C199" s="10">
        <v>37733</v>
      </c>
      <c r="D199" s="10">
        <v>113199</v>
      </c>
    </row>
    <row r="200" spans="1:4" x14ac:dyDescent="0.25">
      <c r="A200" s="7" t="s">
        <v>298</v>
      </c>
      <c r="B200" s="8">
        <v>3</v>
      </c>
      <c r="C200" s="10">
        <v>17519</v>
      </c>
      <c r="D200" s="10">
        <v>52557</v>
      </c>
    </row>
    <row r="201" spans="1:4" x14ac:dyDescent="0.25">
      <c r="A201" s="7" t="s">
        <v>299</v>
      </c>
      <c r="B201" s="8">
        <v>3</v>
      </c>
      <c r="C201" s="10">
        <v>46685</v>
      </c>
      <c r="D201" s="10">
        <v>140055</v>
      </c>
    </row>
    <row r="202" spans="1:4" x14ac:dyDescent="0.25">
      <c r="A202" s="7" t="s">
        <v>300</v>
      </c>
      <c r="B202" s="8">
        <v>4</v>
      </c>
      <c r="C202" s="10">
        <v>18577</v>
      </c>
      <c r="D202" s="10">
        <v>74308</v>
      </c>
    </row>
    <row r="203" spans="1:4" x14ac:dyDescent="0.25">
      <c r="A203" s="7" t="s">
        <v>301</v>
      </c>
      <c r="B203" s="8">
        <v>7</v>
      </c>
      <c r="C203" s="10">
        <v>26758</v>
      </c>
      <c r="D203" s="10">
        <v>187306</v>
      </c>
    </row>
    <row r="204" spans="1:4" x14ac:dyDescent="0.25">
      <c r="A204" s="7" t="s">
        <v>302</v>
      </c>
      <c r="B204" s="8">
        <v>4</v>
      </c>
      <c r="C204" s="10">
        <v>21636</v>
      </c>
      <c r="D204" s="10">
        <v>86544</v>
      </c>
    </row>
    <row r="205" spans="1:4" x14ac:dyDescent="0.25">
      <c r="A205" s="7" t="s">
        <v>303</v>
      </c>
      <c r="B205" s="8">
        <v>9</v>
      </c>
      <c r="C205" s="10">
        <v>8811</v>
      </c>
      <c r="D205" s="10">
        <v>79299</v>
      </c>
    </row>
    <row r="206" spans="1:4" x14ac:dyDescent="0.25">
      <c r="A206" s="7" t="s">
        <v>304</v>
      </c>
      <c r="B206" s="8">
        <v>1</v>
      </c>
      <c r="C206" s="10">
        <v>17714</v>
      </c>
      <c r="D206" s="10">
        <v>17714</v>
      </c>
    </row>
    <row r="207" spans="1:4" x14ac:dyDescent="0.25">
      <c r="A207" s="7" t="s">
        <v>305</v>
      </c>
      <c r="B207" s="8">
        <v>8</v>
      </c>
      <c r="C207" s="10">
        <v>14598</v>
      </c>
      <c r="D207" s="10">
        <v>116784</v>
      </c>
    </row>
    <row r="208" spans="1:4" x14ac:dyDescent="0.25">
      <c r="A208" s="7" t="s">
        <v>306</v>
      </c>
      <c r="B208" s="8">
        <v>7</v>
      </c>
      <c r="C208" s="10">
        <v>28751</v>
      </c>
      <c r="D208" s="10">
        <v>201257</v>
      </c>
    </row>
    <row r="209" spans="1:4" x14ac:dyDescent="0.25">
      <c r="A209" s="7" t="s">
        <v>307</v>
      </c>
      <c r="B209" s="8">
        <v>2</v>
      </c>
      <c r="C209" s="10">
        <v>38445</v>
      </c>
      <c r="D209" s="10">
        <v>76890</v>
      </c>
    </row>
    <row r="210" spans="1:4" x14ac:dyDescent="0.25">
      <c r="A210" s="7" t="s">
        <v>309</v>
      </c>
      <c r="B210" s="8">
        <v>8</v>
      </c>
      <c r="C210" s="10">
        <v>47530</v>
      </c>
      <c r="D210" s="10">
        <v>380240</v>
      </c>
    </row>
    <row r="211" spans="1:4" x14ac:dyDescent="0.25">
      <c r="A211" s="7" t="s">
        <v>311</v>
      </c>
      <c r="B211" s="8">
        <v>1014</v>
      </c>
      <c r="C211" s="10">
        <v>4994357</v>
      </c>
      <c r="D211" s="10">
        <v>25278148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sheetViews>
  <sheetFormatPr defaultRowHeight="15" x14ac:dyDescent="0.25"/>
  <cols>
    <col min="1" max="1" width="11.140625" style="1" customWidth="1"/>
    <col min="2" max="2" width="13.42578125" style="1" customWidth="1"/>
    <col min="3" max="3" width="14.5703125" style="1" customWidth="1"/>
    <col min="4" max="4" width="12.140625" style="1" bestFit="1" customWidth="1"/>
    <col min="5" max="5" width="9.28515625" style="1" customWidth="1"/>
    <col min="6" max="6" width="10.85546875" style="1" customWidth="1"/>
    <col min="7" max="7" width="12.42578125" style="28" customWidth="1"/>
    <col min="8" max="8" width="15.7109375" style="28" customWidth="1"/>
    <col min="9" max="16384" width="9.140625" style="1"/>
  </cols>
  <sheetData>
    <row r="1" spans="1:8" ht="15.75" thickBot="1" x14ac:dyDescent="0.3">
      <c r="A1" s="13" t="s">
        <v>0</v>
      </c>
      <c r="B1" s="14" t="s">
        <v>1</v>
      </c>
      <c r="C1" s="14" t="s">
        <v>2</v>
      </c>
      <c r="D1" s="14" t="s">
        <v>3</v>
      </c>
      <c r="E1" s="15" t="s">
        <v>4</v>
      </c>
      <c r="F1" s="16" t="s">
        <v>5</v>
      </c>
      <c r="G1" s="20" t="s">
        <v>6</v>
      </c>
      <c r="H1" s="21" t="s">
        <v>7</v>
      </c>
    </row>
    <row r="2" spans="1:8" x14ac:dyDescent="0.25">
      <c r="A2" s="11" t="s">
        <v>8</v>
      </c>
      <c r="B2" s="4">
        <v>45096</v>
      </c>
      <c r="C2" s="5" t="s">
        <v>9</v>
      </c>
      <c r="D2" s="5" t="s">
        <v>10</v>
      </c>
      <c r="E2" s="5" t="s">
        <v>11</v>
      </c>
      <c r="F2" s="5">
        <v>7</v>
      </c>
      <c r="G2" s="22">
        <v>38004</v>
      </c>
      <c r="H2" s="23">
        <v>266028</v>
      </c>
    </row>
    <row r="3" spans="1:8" x14ac:dyDescent="0.25">
      <c r="A3" s="12" t="s">
        <v>12</v>
      </c>
      <c r="B3" s="3">
        <v>45621</v>
      </c>
      <c r="C3" s="2" t="s">
        <v>13</v>
      </c>
      <c r="D3" s="2" t="s">
        <v>14</v>
      </c>
      <c r="E3" s="2" t="s">
        <v>15</v>
      </c>
      <c r="F3" s="2">
        <v>4</v>
      </c>
      <c r="G3" s="24">
        <v>2302</v>
      </c>
      <c r="H3" s="25">
        <v>9208</v>
      </c>
    </row>
    <row r="4" spans="1:8" x14ac:dyDescent="0.25">
      <c r="A4" s="12" t="s">
        <v>16</v>
      </c>
      <c r="B4" s="3">
        <v>45616</v>
      </c>
      <c r="C4" s="2" t="s">
        <v>17</v>
      </c>
      <c r="D4" s="2" t="s">
        <v>18</v>
      </c>
      <c r="E4" s="2" t="s">
        <v>19</v>
      </c>
      <c r="F4" s="2">
        <v>8</v>
      </c>
      <c r="G4" s="24">
        <v>8655</v>
      </c>
      <c r="H4" s="25">
        <v>69240</v>
      </c>
    </row>
    <row r="5" spans="1:8" x14ac:dyDescent="0.25">
      <c r="A5" s="12" t="s">
        <v>20</v>
      </c>
      <c r="B5" s="3">
        <v>45497</v>
      </c>
      <c r="C5" s="2" t="s">
        <v>21</v>
      </c>
      <c r="D5" s="2" t="s">
        <v>10</v>
      </c>
      <c r="E5" s="2" t="s">
        <v>15</v>
      </c>
      <c r="F5" s="2">
        <v>5</v>
      </c>
      <c r="G5" s="24">
        <v>8620</v>
      </c>
      <c r="H5" s="25">
        <v>43100</v>
      </c>
    </row>
    <row r="6" spans="1:8" x14ac:dyDescent="0.25">
      <c r="A6" s="12" t="s">
        <v>22</v>
      </c>
      <c r="B6" s="3">
        <v>44986</v>
      </c>
      <c r="C6" s="2" t="s">
        <v>23</v>
      </c>
      <c r="D6" s="2" t="s">
        <v>24</v>
      </c>
      <c r="E6" s="2" t="s">
        <v>15</v>
      </c>
      <c r="F6" s="2">
        <v>7</v>
      </c>
      <c r="G6" s="24">
        <v>39884</v>
      </c>
      <c r="H6" s="25">
        <v>279188</v>
      </c>
    </row>
    <row r="7" spans="1:8" x14ac:dyDescent="0.25">
      <c r="A7" s="12" t="s">
        <v>25</v>
      </c>
      <c r="B7" s="3">
        <v>44957</v>
      </c>
      <c r="C7" s="2" t="s">
        <v>26</v>
      </c>
      <c r="D7" s="2" t="s">
        <v>27</v>
      </c>
      <c r="E7" s="2" t="s">
        <v>11</v>
      </c>
      <c r="F7" s="2">
        <v>3</v>
      </c>
      <c r="G7" s="24">
        <v>47525</v>
      </c>
      <c r="H7" s="25">
        <v>142575</v>
      </c>
    </row>
    <row r="8" spans="1:8" x14ac:dyDescent="0.25">
      <c r="A8" s="12" t="s">
        <v>28</v>
      </c>
      <c r="B8" s="3">
        <v>45047</v>
      </c>
      <c r="C8" s="2" t="s">
        <v>9</v>
      </c>
      <c r="D8" s="2" t="s">
        <v>18</v>
      </c>
      <c r="E8" s="2" t="s">
        <v>11</v>
      </c>
      <c r="F8" s="2">
        <v>7</v>
      </c>
      <c r="G8" s="24">
        <v>47754</v>
      </c>
      <c r="H8" s="25">
        <v>334278</v>
      </c>
    </row>
    <row r="9" spans="1:8" x14ac:dyDescent="0.25">
      <c r="A9" s="12" t="s">
        <v>29</v>
      </c>
      <c r="B9" s="3">
        <v>45644</v>
      </c>
      <c r="C9" s="2" t="s">
        <v>30</v>
      </c>
      <c r="D9" s="2" t="s">
        <v>18</v>
      </c>
      <c r="E9" s="2" t="s">
        <v>19</v>
      </c>
      <c r="F9" s="2">
        <v>8</v>
      </c>
      <c r="G9" s="24">
        <v>22418</v>
      </c>
      <c r="H9" s="25">
        <v>179344</v>
      </c>
    </row>
    <row r="10" spans="1:8" x14ac:dyDescent="0.25">
      <c r="A10" s="12" t="s">
        <v>31</v>
      </c>
      <c r="B10" s="3">
        <v>45319</v>
      </c>
      <c r="C10" s="2" t="s">
        <v>32</v>
      </c>
      <c r="D10" s="2" t="s">
        <v>10</v>
      </c>
      <c r="E10" s="2" t="s">
        <v>15</v>
      </c>
      <c r="F10" s="2">
        <v>5</v>
      </c>
      <c r="G10" s="24">
        <v>20945</v>
      </c>
      <c r="H10" s="25">
        <v>104725</v>
      </c>
    </row>
    <row r="11" spans="1:8" x14ac:dyDescent="0.25">
      <c r="A11" s="12" t="s">
        <v>33</v>
      </c>
      <c r="B11" s="3">
        <v>45536</v>
      </c>
      <c r="C11" s="2" t="s">
        <v>34</v>
      </c>
      <c r="D11" s="2" t="s">
        <v>14</v>
      </c>
      <c r="E11" s="2" t="s">
        <v>19</v>
      </c>
      <c r="F11" s="2">
        <v>4</v>
      </c>
      <c r="G11" s="24">
        <v>30806</v>
      </c>
      <c r="H11" s="25">
        <v>123224</v>
      </c>
    </row>
    <row r="12" spans="1:8" x14ac:dyDescent="0.25">
      <c r="A12" s="12" t="s">
        <v>35</v>
      </c>
      <c r="B12" s="3">
        <v>45220</v>
      </c>
      <c r="C12" s="2" t="s">
        <v>36</v>
      </c>
      <c r="D12" s="2" t="s">
        <v>14</v>
      </c>
      <c r="E12" s="2" t="s">
        <v>15</v>
      </c>
      <c r="F12" s="2">
        <v>8</v>
      </c>
      <c r="G12" s="24">
        <v>17146</v>
      </c>
      <c r="H12" s="25">
        <v>137168</v>
      </c>
    </row>
    <row r="13" spans="1:8" x14ac:dyDescent="0.25">
      <c r="A13" s="12" t="s">
        <v>37</v>
      </c>
      <c r="B13" s="3">
        <v>45412</v>
      </c>
      <c r="C13" s="2" t="s">
        <v>38</v>
      </c>
      <c r="D13" s="2" t="s">
        <v>27</v>
      </c>
      <c r="E13" s="2" t="s">
        <v>11</v>
      </c>
      <c r="F13" s="2">
        <v>8</v>
      </c>
      <c r="G13" s="24">
        <v>47343</v>
      </c>
      <c r="H13" s="25">
        <v>378744</v>
      </c>
    </row>
    <row r="14" spans="1:8" x14ac:dyDescent="0.25">
      <c r="A14" s="12" t="s">
        <v>39</v>
      </c>
      <c r="B14" s="3">
        <v>45392</v>
      </c>
      <c r="C14" s="2" t="s">
        <v>40</v>
      </c>
      <c r="D14" s="2" t="s">
        <v>41</v>
      </c>
      <c r="E14" s="2" t="s">
        <v>19</v>
      </c>
      <c r="F14" s="2">
        <v>3</v>
      </c>
      <c r="G14" s="24">
        <v>31565</v>
      </c>
      <c r="H14" s="25">
        <v>94695</v>
      </c>
    </row>
    <row r="15" spans="1:8" x14ac:dyDescent="0.25">
      <c r="A15" s="12" t="s">
        <v>42</v>
      </c>
      <c r="B15" s="3">
        <v>45548</v>
      </c>
      <c r="C15" s="2" t="s">
        <v>43</v>
      </c>
      <c r="D15" s="2" t="s">
        <v>10</v>
      </c>
      <c r="E15" s="2" t="s">
        <v>44</v>
      </c>
      <c r="F15" s="2">
        <v>6</v>
      </c>
      <c r="G15" s="24">
        <v>25699</v>
      </c>
      <c r="H15" s="25">
        <v>154194</v>
      </c>
    </row>
    <row r="16" spans="1:8" x14ac:dyDescent="0.25">
      <c r="A16" s="12" t="s">
        <v>45</v>
      </c>
      <c r="B16" s="3">
        <v>45481</v>
      </c>
      <c r="C16" s="2" t="s">
        <v>46</v>
      </c>
      <c r="D16" s="2" t="s">
        <v>24</v>
      </c>
      <c r="E16" s="2" t="s">
        <v>19</v>
      </c>
      <c r="F16" s="2">
        <v>5</v>
      </c>
      <c r="G16" s="24">
        <v>42476</v>
      </c>
      <c r="H16" s="25">
        <v>212380</v>
      </c>
    </row>
    <row r="17" spans="1:8" x14ac:dyDescent="0.25">
      <c r="A17" s="12" t="s">
        <v>47</v>
      </c>
      <c r="B17" s="3">
        <v>45546</v>
      </c>
      <c r="C17" s="2" t="s">
        <v>48</v>
      </c>
      <c r="D17" s="2" t="s">
        <v>27</v>
      </c>
      <c r="E17" s="2" t="s">
        <v>19</v>
      </c>
      <c r="F17" s="2">
        <v>2</v>
      </c>
      <c r="G17" s="24">
        <v>16871</v>
      </c>
      <c r="H17" s="25">
        <v>33742</v>
      </c>
    </row>
    <row r="18" spans="1:8" x14ac:dyDescent="0.25">
      <c r="A18" s="12" t="s">
        <v>49</v>
      </c>
      <c r="B18" s="3">
        <v>45332</v>
      </c>
      <c r="C18" s="2" t="s">
        <v>50</v>
      </c>
      <c r="D18" s="2" t="s">
        <v>18</v>
      </c>
      <c r="E18" s="2" t="s">
        <v>44</v>
      </c>
      <c r="F18" s="2">
        <v>8</v>
      </c>
      <c r="G18" s="24">
        <v>12335</v>
      </c>
      <c r="H18" s="25">
        <v>98680</v>
      </c>
    </row>
    <row r="19" spans="1:8" x14ac:dyDescent="0.25">
      <c r="A19" s="12" t="s">
        <v>51</v>
      </c>
      <c r="B19" s="3">
        <v>44983</v>
      </c>
      <c r="C19" s="2" t="s">
        <v>52</v>
      </c>
      <c r="D19" s="2" t="s">
        <v>41</v>
      </c>
      <c r="E19" s="2" t="s">
        <v>19</v>
      </c>
      <c r="F19" s="2">
        <v>6</v>
      </c>
      <c r="G19" s="24">
        <v>46436</v>
      </c>
      <c r="H19" s="25">
        <v>278616</v>
      </c>
    </row>
    <row r="20" spans="1:8" x14ac:dyDescent="0.25">
      <c r="A20" s="12" t="s">
        <v>53</v>
      </c>
      <c r="B20" s="3">
        <v>45009</v>
      </c>
      <c r="C20" s="2" t="s">
        <v>21</v>
      </c>
      <c r="D20" s="2" t="s">
        <v>10</v>
      </c>
      <c r="E20" s="2" t="s">
        <v>15</v>
      </c>
      <c r="F20" s="2">
        <v>2</v>
      </c>
      <c r="G20" s="24">
        <v>2549</v>
      </c>
      <c r="H20" s="25">
        <v>5098</v>
      </c>
    </row>
    <row r="21" spans="1:8" x14ac:dyDescent="0.25">
      <c r="A21" s="12" t="s">
        <v>54</v>
      </c>
      <c r="B21" s="3">
        <v>45092</v>
      </c>
      <c r="C21" s="2" t="s">
        <v>55</v>
      </c>
      <c r="D21" s="2" t="s">
        <v>24</v>
      </c>
      <c r="E21" s="2" t="s">
        <v>11</v>
      </c>
      <c r="F21" s="2">
        <v>5</v>
      </c>
      <c r="G21" s="24">
        <v>32116</v>
      </c>
      <c r="H21" s="25">
        <v>160580</v>
      </c>
    </row>
    <row r="22" spans="1:8" x14ac:dyDescent="0.25">
      <c r="A22" s="12" t="s">
        <v>56</v>
      </c>
      <c r="B22" s="3">
        <v>45367</v>
      </c>
      <c r="C22" s="2" t="s">
        <v>23</v>
      </c>
      <c r="D22" s="2" t="s">
        <v>41</v>
      </c>
      <c r="E22" s="2" t="s">
        <v>15</v>
      </c>
      <c r="F22" s="2">
        <v>1</v>
      </c>
      <c r="G22" s="24">
        <v>38691</v>
      </c>
      <c r="H22" s="25">
        <v>38691</v>
      </c>
    </row>
    <row r="23" spans="1:8" x14ac:dyDescent="0.25">
      <c r="A23" s="12" t="s">
        <v>57</v>
      </c>
      <c r="B23" s="3">
        <v>45304</v>
      </c>
      <c r="C23" s="2" t="s">
        <v>58</v>
      </c>
      <c r="D23" s="2" t="s">
        <v>59</v>
      </c>
      <c r="E23" s="2" t="s">
        <v>11</v>
      </c>
      <c r="F23" s="2">
        <v>6</v>
      </c>
      <c r="G23" s="24">
        <v>47857</v>
      </c>
      <c r="H23" s="25">
        <v>287142</v>
      </c>
    </row>
    <row r="24" spans="1:8" x14ac:dyDescent="0.25">
      <c r="A24" s="12" t="s">
        <v>60</v>
      </c>
      <c r="B24" s="3">
        <v>45123</v>
      </c>
      <c r="C24" s="2" t="s">
        <v>61</v>
      </c>
      <c r="D24" s="2" t="s">
        <v>14</v>
      </c>
      <c r="E24" s="2" t="s">
        <v>44</v>
      </c>
      <c r="F24" s="2">
        <v>9</v>
      </c>
      <c r="G24" s="24">
        <v>21432</v>
      </c>
      <c r="H24" s="25">
        <v>192888</v>
      </c>
    </row>
    <row r="25" spans="1:8" x14ac:dyDescent="0.25">
      <c r="A25" s="12" t="s">
        <v>62</v>
      </c>
      <c r="B25" s="3">
        <v>45518</v>
      </c>
      <c r="C25" s="2" t="s">
        <v>63</v>
      </c>
      <c r="D25" s="2" t="s">
        <v>14</v>
      </c>
      <c r="E25" s="2" t="s">
        <v>19</v>
      </c>
      <c r="F25" s="2">
        <v>1</v>
      </c>
      <c r="G25" s="24">
        <v>30355</v>
      </c>
      <c r="H25" s="25">
        <v>30355</v>
      </c>
    </row>
    <row r="26" spans="1:8" x14ac:dyDescent="0.25">
      <c r="A26" s="12" t="s">
        <v>64</v>
      </c>
      <c r="B26" s="3">
        <v>44941</v>
      </c>
      <c r="C26" s="2" t="s">
        <v>32</v>
      </c>
      <c r="D26" s="2" t="s">
        <v>14</v>
      </c>
      <c r="E26" s="2" t="s">
        <v>19</v>
      </c>
      <c r="F26" s="2">
        <v>3</v>
      </c>
      <c r="G26" s="24">
        <v>7658</v>
      </c>
      <c r="H26" s="25">
        <v>22974</v>
      </c>
    </row>
    <row r="27" spans="1:8" x14ac:dyDescent="0.25">
      <c r="A27" s="12" t="s">
        <v>65</v>
      </c>
      <c r="B27" s="3">
        <v>45476</v>
      </c>
      <c r="C27" s="2" t="s">
        <v>66</v>
      </c>
      <c r="D27" s="2" t="s">
        <v>10</v>
      </c>
      <c r="E27" s="2" t="s">
        <v>44</v>
      </c>
      <c r="F27" s="2">
        <v>7</v>
      </c>
      <c r="G27" s="24">
        <v>43516</v>
      </c>
      <c r="H27" s="25">
        <v>304612</v>
      </c>
    </row>
    <row r="28" spans="1:8" x14ac:dyDescent="0.25">
      <c r="A28" s="12" t="s">
        <v>67</v>
      </c>
      <c r="B28" s="3">
        <v>45629</v>
      </c>
      <c r="C28" s="2" t="s">
        <v>68</v>
      </c>
      <c r="D28" s="2" t="s">
        <v>14</v>
      </c>
      <c r="E28" s="2" t="s">
        <v>44</v>
      </c>
      <c r="F28" s="2">
        <v>4</v>
      </c>
      <c r="G28" s="24">
        <v>7900</v>
      </c>
      <c r="H28" s="25">
        <v>31600</v>
      </c>
    </row>
    <row r="29" spans="1:8" x14ac:dyDescent="0.25">
      <c r="A29" s="12" t="s">
        <v>69</v>
      </c>
      <c r="B29" s="3">
        <v>45079</v>
      </c>
      <c r="C29" s="2" t="s">
        <v>70</v>
      </c>
      <c r="D29" s="2" t="s">
        <v>41</v>
      </c>
      <c r="E29" s="2" t="s">
        <v>15</v>
      </c>
      <c r="F29" s="2">
        <v>9</v>
      </c>
      <c r="G29" s="24">
        <v>43142</v>
      </c>
      <c r="H29" s="25">
        <v>388278</v>
      </c>
    </row>
    <row r="30" spans="1:8" x14ac:dyDescent="0.25">
      <c r="A30" s="12" t="s">
        <v>71</v>
      </c>
      <c r="B30" s="3">
        <v>45433</v>
      </c>
      <c r="C30" s="2" t="s">
        <v>72</v>
      </c>
      <c r="D30" s="2" t="s">
        <v>27</v>
      </c>
      <c r="E30" s="2" t="s">
        <v>15</v>
      </c>
      <c r="F30" s="2">
        <v>3</v>
      </c>
      <c r="G30" s="24">
        <v>15651</v>
      </c>
      <c r="H30" s="25">
        <v>46953</v>
      </c>
    </row>
    <row r="31" spans="1:8" x14ac:dyDescent="0.25">
      <c r="A31" s="12" t="s">
        <v>73</v>
      </c>
      <c r="B31" s="3">
        <v>45488</v>
      </c>
      <c r="C31" s="2" t="s">
        <v>13</v>
      </c>
      <c r="D31" s="2" t="s">
        <v>18</v>
      </c>
      <c r="E31" s="2" t="s">
        <v>11</v>
      </c>
      <c r="F31" s="2">
        <v>5</v>
      </c>
      <c r="G31" s="24">
        <v>1654</v>
      </c>
      <c r="H31" s="25">
        <v>8270</v>
      </c>
    </row>
    <row r="32" spans="1:8" x14ac:dyDescent="0.25">
      <c r="A32" s="12" t="s">
        <v>74</v>
      </c>
      <c r="B32" s="3">
        <v>44945</v>
      </c>
      <c r="C32" s="2" t="s">
        <v>26</v>
      </c>
      <c r="D32" s="2" t="s">
        <v>41</v>
      </c>
      <c r="E32" s="2" t="s">
        <v>44</v>
      </c>
      <c r="F32" s="2">
        <v>3</v>
      </c>
      <c r="G32" s="24">
        <v>4999</v>
      </c>
      <c r="H32" s="25">
        <v>14997</v>
      </c>
    </row>
    <row r="33" spans="1:8" x14ac:dyDescent="0.25">
      <c r="A33" s="12" t="s">
        <v>75</v>
      </c>
      <c r="B33" s="3">
        <v>45535</v>
      </c>
      <c r="C33" s="2" t="s">
        <v>76</v>
      </c>
      <c r="D33" s="2" t="s">
        <v>27</v>
      </c>
      <c r="E33" s="2" t="s">
        <v>44</v>
      </c>
      <c r="F33" s="2">
        <v>7</v>
      </c>
      <c r="G33" s="24">
        <v>6795</v>
      </c>
      <c r="H33" s="25">
        <v>47565</v>
      </c>
    </row>
    <row r="34" spans="1:8" x14ac:dyDescent="0.25">
      <c r="A34" s="12" t="s">
        <v>77</v>
      </c>
      <c r="B34" s="3">
        <v>45577</v>
      </c>
      <c r="C34" s="2" t="s">
        <v>34</v>
      </c>
      <c r="D34" s="2" t="s">
        <v>24</v>
      </c>
      <c r="E34" s="2" t="s">
        <v>11</v>
      </c>
      <c r="F34" s="2">
        <v>5</v>
      </c>
      <c r="G34" s="24">
        <v>12683</v>
      </c>
      <c r="H34" s="25">
        <v>63415</v>
      </c>
    </row>
    <row r="35" spans="1:8" x14ac:dyDescent="0.25">
      <c r="A35" s="12" t="s">
        <v>78</v>
      </c>
      <c r="B35" s="3">
        <v>45386</v>
      </c>
      <c r="C35" s="2" t="s">
        <v>36</v>
      </c>
      <c r="D35" s="2" t="s">
        <v>18</v>
      </c>
      <c r="E35" s="2" t="s">
        <v>19</v>
      </c>
      <c r="F35" s="2">
        <v>9</v>
      </c>
      <c r="G35" s="24">
        <v>29799</v>
      </c>
      <c r="H35" s="25">
        <v>268191</v>
      </c>
    </row>
    <row r="36" spans="1:8" x14ac:dyDescent="0.25">
      <c r="A36" s="12" t="s">
        <v>79</v>
      </c>
      <c r="B36" s="3">
        <v>45123</v>
      </c>
      <c r="C36" s="2" t="s">
        <v>80</v>
      </c>
      <c r="D36" s="2" t="s">
        <v>27</v>
      </c>
      <c r="E36" s="2" t="s">
        <v>11</v>
      </c>
      <c r="F36" s="2">
        <v>7</v>
      </c>
      <c r="G36" s="24">
        <v>13374</v>
      </c>
      <c r="H36" s="25">
        <v>93618</v>
      </c>
    </row>
    <row r="37" spans="1:8" x14ac:dyDescent="0.25">
      <c r="A37" s="12" t="s">
        <v>81</v>
      </c>
      <c r="B37" s="3">
        <v>45514</v>
      </c>
      <c r="C37" s="2" t="s">
        <v>17</v>
      </c>
      <c r="D37" s="2" t="s">
        <v>14</v>
      </c>
      <c r="E37" s="2" t="s">
        <v>44</v>
      </c>
      <c r="F37" s="2">
        <v>2</v>
      </c>
      <c r="G37" s="24">
        <v>33211</v>
      </c>
      <c r="H37" s="25">
        <v>66422</v>
      </c>
    </row>
    <row r="38" spans="1:8" x14ac:dyDescent="0.25">
      <c r="A38" s="12" t="s">
        <v>82</v>
      </c>
      <c r="B38" s="3">
        <v>45626</v>
      </c>
      <c r="C38" s="2" t="s">
        <v>83</v>
      </c>
      <c r="D38" s="2" t="s">
        <v>14</v>
      </c>
      <c r="E38" s="2" t="s">
        <v>19</v>
      </c>
      <c r="F38" s="2">
        <v>4</v>
      </c>
      <c r="G38" s="24">
        <v>6039</v>
      </c>
      <c r="H38" s="25">
        <v>24156</v>
      </c>
    </row>
    <row r="39" spans="1:8" x14ac:dyDescent="0.25">
      <c r="A39" s="12" t="s">
        <v>84</v>
      </c>
      <c r="B39" s="3">
        <v>44972</v>
      </c>
      <c r="C39" s="2" t="s">
        <v>30</v>
      </c>
      <c r="D39" s="2" t="s">
        <v>27</v>
      </c>
      <c r="E39" s="2" t="s">
        <v>11</v>
      </c>
      <c r="F39" s="2">
        <v>9</v>
      </c>
      <c r="G39" s="24">
        <v>42905</v>
      </c>
      <c r="H39" s="25">
        <v>386145</v>
      </c>
    </row>
    <row r="40" spans="1:8" x14ac:dyDescent="0.25">
      <c r="A40" s="12" t="s">
        <v>85</v>
      </c>
      <c r="B40" s="3">
        <v>45149</v>
      </c>
      <c r="C40" s="2" t="s">
        <v>86</v>
      </c>
      <c r="D40" s="2" t="s">
        <v>24</v>
      </c>
      <c r="E40" s="2" t="s">
        <v>11</v>
      </c>
      <c r="F40" s="2">
        <v>2</v>
      </c>
      <c r="G40" s="24">
        <v>48854</v>
      </c>
      <c r="H40" s="25">
        <v>97708</v>
      </c>
    </row>
    <row r="41" spans="1:8" x14ac:dyDescent="0.25">
      <c r="A41" s="12" t="s">
        <v>87</v>
      </c>
      <c r="B41" s="3">
        <v>44942</v>
      </c>
      <c r="C41" s="2" t="s">
        <v>88</v>
      </c>
      <c r="D41" s="2" t="s">
        <v>18</v>
      </c>
      <c r="E41" s="2" t="s">
        <v>44</v>
      </c>
      <c r="F41" s="2">
        <v>9</v>
      </c>
      <c r="G41" s="24">
        <v>3057</v>
      </c>
      <c r="H41" s="25">
        <v>27513</v>
      </c>
    </row>
    <row r="42" spans="1:8" x14ac:dyDescent="0.25">
      <c r="A42" s="12" t="s">
        <v>89</v>
      </c>
      <c r="B42" s="3">
        <v>45495</v>
      </c>
      <c r="C42" s="2" t="s">
        <v>90</v>
      </c>
      <c r="D42" s="2" t="s">
        <v>14</v>
      </c>
      <c r="E42" s="2" t="s">
        <v>15</v>
      </c>
      <c r="F42" s="2">
        <v>5</v>
      </c>
      <c r="G42" s="24">
        <v>38860</v>
      </c>
      <c r="H42" s="25">
        <v>194300</v>
      </c>
    </row>
    <row r="43" spans="1:8" x14ac:dyDescent="0.25">
      <c r="A43" s="12" t="s">
        <v>91</v>
      </c>
      <c r="B43" s="3">
        <v>44950</v>
      </c>
      <c r="C43" s="2" t="s">
        <v>92</v>
      </c>
      <c r="D43" s="2" t="s">
        <v>59</v>
      </c>
      <c r="E43" s="2" t="s">
        <v>44</v>
      </c>
      <c r="F43" s="2">
        <v>2</v>
      </c>
      <c r="G43" s="24">
        <v>16982</v>
      </c>
      <c r="H43" s="25">
        <v>33964</v>
      </c>
    </row>
    <row r="44" spans="1:8" x14ac:dyDescent="0.25">
      <c r="A44" s="12" t="s">
        <v>93</v>
      </c>
      <c r="B44" s="3">
        <v>45076</v>
      </c>
      <c r="C44" s="2" t="s">
        <v>61</v>
      </c>
      <c r="D44" s="2" t="s">
        <v>41</v>
      </c>
      <c r="E44" s="2" t="s">
        <v>11</v>
      </c>
      <c r="F44" s="2">
        <v>4</v>
      </c>
      <c r="G44" s="24">
        <v>2700</v>
      </c>
      <c r="H44" s="25">
        <v>10800</v>
      </c>
    </row>
    <row r="45" spans="1:8" x14ac:dyDescent="0.25">
      <c r="A45" s="12" t="s">
        <v>94</v>
      </c>
      <c r="B45" s="3">
        <v>45449</v>
      </c>
      <c r="C45" s="2" t="s">
        <v>95</v>
      </c>
      <c r="D45" s="2" t="s">
        <v>41</v>
      </c>
      <c r="E45" s="2" t="s">
        <v>44</v>
      </c>
      <c r="F45" s="2">
        <v>7</v>
      </c>
      <c r="G45" s="24">
        <v>47440</v>
      </c>
      <c r="H45" s="25">
        <v>332080</v>
      </c>
    </row>
    <row r="46" spans="1:8" x14ac:dyDescent="0.25">
      <c r="A46" s="12" t="s">
        <v>96</v>
      </c>
      <c r="B46" s="3">
        <v>45498</v>
      </c>
      <c r="C46" s="2" t="s">
        <v>70</v>
      </c>
      <c r="D46" s="2" t="s">
        <v>18</v>
      </c>
      <c r="E46" s="2" t="s">
        <v>44</v>
      </c>
      <c r="F46" s="2">
        <v>8</v>
      </c>
      <c r="G46" s="24">
        <v>3461</v>
      </c>
      <c r="H46" s="25">
        <v>27688</v>
      </c>
    </row>
    <row r="47" spans="1:8" x14ac:dyDescent="0.25">
      <c r="A47" s="12" t="s">
        <v>97</v>
      </c>
      <c r="B47" s="3">
        <v>45361</v>
      </c>
      <c r="C47" s="2" t="s">
        <v>98</v>
      </c>
      <c r="D47" s="2" t="s">
        <v>41</v>
      </c>
      <c r="E47" s="2" t="s">
        <v>15</v>
      </c>
      <c r="F47" s="2">
        <v>3</v>
      </c>
      <c r="G47" s="24">
        <v>47475</v>
      </c>
      <c r="H47" s="25">
        <v>142425</v>
      </c>
    </row>
    <row r="48" spans="1:8" x14ac:dyDescent="0.25">
      <c r="A48" s="12" t="s">
        <v>99</v>
      </c>
      <c r="B48" s="3">
        <v>45128</v>
      </c>
      <c r="C48" s="2" t="s">
        <v>100</v>
      </c>
      <c r="D48" s="2" t="s">
        <v>10</v>
      </c>
      <c r="E48" s="2" t="s">
        <v>19</v>
      </c>
      <c r="F48" s="2">
        <v>1</v>
      </c>
      <c r="G48" s="24">
        <v>21857</v>
      </c>
      <c r="H48" s="25">
        <v>21857</v>
      </c>
    </row>
    <row r="49" spans="1:8" x14ac:dyDescent="0.25">
      <c r="A49" s="12" t="s">
        <v>101</v>
      </c>
      <c r="B49" s="3">
        <v>45493</v>
      </c>
      <c r="C49" s="2" t="s">
        <v>102</v>
      </c>
      <c r="D49" s="2" t="s">
        <v>10</v>
      </c>
      <c r="E49" s="2" t="s">
        <v>15</v>
      </c>
      <c r="F49" s="2">
        <v>4</v>
      </c>
      <c r="G49" s="24">
        <v>12469</v>
      </c>
      <c r="H49" s="25">
        <v>49876</v>
      </c>
    </row>
    <row r="50" spans="1:8" x14ac:dyDescent="0.25">
      <c r="A50" s="12" t="s">
        <v>103</v>
      </c>
      <c r="B50" s="3">
        <v>45195</v>
      </c>
      <c r="C50" s="2" t="s">
        <v>104</v>
      </c>
      <c r="D50" s="2" t="s">
        <v>10</v>
      </c>
      <c r="E50" s="2" t="s">
        <v>15</v>
      </c>
      <c r="F50" s="2">
        <v>2</v>
      </c>
      <c r="G50" s="24">
        <v>3369</v>
      </c>
      <c r="H50" s="25">
        <v>6738</v>
      </c>
    </row>
    <row r="51" spans="1:8" x14ac:dyDescent="0.25">
      <c r="A51" s="12" t="s">
        <v>105</v>
      </c>
      <c r="B51" s="3">
        <v>45557</v>
      </c>
      <c r="C51" s="2" t="s">
        <v>76</v>
      </c>
      <c r="D51" s="2" t="s">
        <v>14</v>
      </c>
      <c r="E51" s="2" t="s">
        <v>11</v>
      </c>
      <c r="F51" s="2">
        <v>8</v>
      </c>
      <c r="G51" s="24">
        <v>47260</v>
      </c>
      <c r="H51" s="25">
        <v>378080</v>
      </c>
    </row>
    <row r="52" spans="1:8" x14ac:dyDescent="0.25">
      <c r="A52" s="12" t="s">
        <v>106</v>
      </c>
      <c r="B52" s="3">
        <v>45150</v>
      </c>
      <c r="C52" s="2" t="s">
        <v>55</v>
      </c>
      <c r="D52" s="2" t="s">
        <v>10</v>
      </c>
      <c r="E52" s="2" t="s">
        <v>44</v>
      </c>
      <c r="F52" s="2">
        <v>4</v>
      </c>
      <c r="G52" s="24">
        <v>29143</v>
      </c>
      <c r="H52" s="25">
        <v>116572</v>
      </c>
    </row>
    <row r="53" spans="1:8" x14ac:dyDescent="0.25">
      <c r="A53" s="12" t="s">
        <v>107</v>
      </c>
      <c r="B53" s="3">
        <v>45001</v>
      </c>
      <c r="C53" s="2" t="s">
        <v>108</v>
      </c>
      <c r="D53" s="2" t="s">
        <v>24</v>
      </c>
      <c r="E53" s="2" t="s">
        <v>11</v>
      </c>
      <c r="F53" s="2">
        <v>2</v>
      </c>
      <c r="G53" s="24">
        <v>25236</v>
      </c>
      <c r="H53" s="25">
        <v>50472</v>
      </c>
    </row>
    <row r="54" spans="1:8" x14ac:dyDescent="0.25">
      <c r="A54" s="12" t="s">
        <v>109</v>
      </c>
      <c r="B54" s="3">
        <v>45035</v>
      </c>
      <c r="C54" s="2" t="s">
        <v>110</v>
      </c>
      <c r="D54" s="2" t="s">
        <v>41</v>
      </c>
      <c r="E54" s="2" t="s">
        <v>19</v>
      </c>
      <c r="F54" s="2">
        <v>6</v>
      </c>
      <c r="G54" s="24">
        <v>38967</v>
      </c>
      <c r="H54" s="25">
        <v>233802</v>
      </c>
    </row>
    <row r="55" spans="1:8" x14ac:dyDescent="0.25">
      <c r="A55" s="12" t="s">
        <v>111</v>
      </c>
      <c r="B55" s="3">
        <v>45319</v>
      </c>
      <c r="C55" s="2" t="s">
        <v>112</v>
      </c>
      <c r="D55" s="2" t="s">
        <v>18</v>
      </c>
      <c r="E55" s="2" t="s">
        <v>19</v>
      </c>
      <c r="F55" s="2">
        <v>6</v>
      </c>
      <c r="G55" s="24">
        <v>23828</v>
      </c>
      <c r="H55" s="25">
        <v>142968</v>
      </c>
    </row>
    <row r="56" spans="1:8" x14ac:dyDescent="0.25">
      <c r="A56" s="12" t="s">
        <v>113</v>
      </c>
      <c r="B56" s="3">
        <v>45559</v>
      </c>
      <c r="C56" s="2" t="s">
        <v>114</v>
      </c>
      <c r="D56" s="2" t="s">
        <v>18</v>
      </c>
      <c r="E56" s="2" t="s">
        <v>15</v>
      </c>
      <c r="F56" s="2">
        <v>4</v>
      </c>
      <c r="G56" s="24">
        <v>26376</v>
      </c>
      <c r="H56" s="25">
        <v>105504</v>
      </c>
    </row>
    <row r="57" spans="1:8" x14ac:dyDescent="0.25">
      <c r="A57" s="12" t="s">
        <v>115</v>
      </c>
      <c r="B57" s="3">
        <v>45358</v>
      </c>
      <c r="C57" s="2" t="s">
        <v>68</v>
      </c>
      <c r="D57" s="2" t="s">
        <v>24</v>
      </c>
      <c r="E57" s="2" t="s">
        <v>44</v>
      </c>
      <c r="F57" s="2">
        <v>6</v>
      </c>
      <c r="G57" s="24">
        <v>21795</v>
      </c>
      <c r="H57" s="25">
        <v>130770</v>
      </c>
    </row>
    <row r="58" spans="1:8" x14ac:dyDescent="0.25">
      <c r="A58" s="12" t="s">
        <v>116</v>
      </c>
      <c r="B58" s="3">
        <v>45349</v>
      </c>
      <c r="C58" s="2" t="s">
        <v>117</v>
      </c>
      <c r="D58" s="2" t="s">
        <v>41</v>
      </c>
      <c r="E58" s="2" t="s">
        <v>19</v>
      </c>
      <c r="F58" s="2">
        <v>2</v>
      </c>
      <c r="G58" s="24">
        <v>4487</v>
      </c>
      <c r="H58" s="25">
        <v>8974</v>
      </c>
    </row>
    <row r="59" spans="1:8" x14ac:dyDescent="0.25">
      <c r="A59" s="12" t="s">
        <v>118</v>
      </c>
      <c r="B59" s="3">
        <v>45153</v>
      </c>
      <c r="C59" s="2" t="s">
        <v>110</v>
      </c>
      <c r="D59" s="2" t="s">
        <v>10</v>
      </c>
      <c r="E59" s="2" t="s">
        <v>11</v>
      </c>
      <c r="F59" s="2">
        <v>2</v>
      </c>
      <c r="G59" s="24">
        <v>22899</v>
      </c>
      <c r="H59" s="25">
        <v>45798</v>
      </c>
    </row>
    <row r="60" spans="1:8" x14ac:dyDescent="0.25">
      <c r="A60" s="12" t="s">
        <v>119</v>
      </c>
      <c r="B60" s="3">
        <v>45419</v>
      </c>
      <c r="C60" s="2" t="s">
        <v>92</v>
      </c>
      <c r="D60" s="2" t="s">
        <v>14</v>
      </c>
      <c r="E60" s="2" t="s">
        <v>15</v>
      </c>
      <c r="F60" s="2">
        <v>4</v>
      </c>
      <c r="G60" s="24">
        <v>46714</v>
      </c>
      <c r="H60" s="25">
        <v>186856</v>
      </c>
    </row>
    <row r="61" spans="1:8" x14ac:dyDescent="0.25">
      <c r="A61" s="12" t="s">
        <v>120</v>
      </c>
      <c r="B61" s="3">
        <v>45009</v>
      </c>
      <c r="C61" s="2" t="s">
        <v>121</v>
      </c>
      <c r="D61" s="2" t="s">
        <v>24</v>
      </c>
      <c r="E61" s="2" t="s">
        <v>44</v>
      </c>
      <c r="F61" s="2">
        <v>8</v>
      </c>
      <c r="G61" s="24">
        <v>34486</v>
      </c>
      <c r="H61" s="25">
        <v>275888</v>
      </c>
    </row>
    <row r="62" spans="1:8" x14ac:dyDescent="0.25">
      <c r="A62" s="12" t="s">
        <v>122</v>
      </c>
      <c r="B62" s="3">
        <v>44930</v>
      </c>
      <c r="C62" s="2" t="s">
        <v>123</v>
      </c>
      <c r="D62" s="2" t="s">
        <v>27</v>
      </c>
      <c r="E62" s="2" t="s">
        <v>11</v>
      </c>
      <c r="F62" s="2">
        <v>7</v>
      </c>
      <c r="G62" s="24">
        <v>21380</v>
      </c>
      <c r="H62" s="25">
        <v>149660</v>
      </c>
    </row>
    <row r="63" spans="1:8" x14ac:dyDescent="0.25">
      <c r="A63" s="12" t="s">
        <v>124</v>
      </c>
      <c r="B63" s="3">
        <v>45474</v>
      </c>
      <c r="C63" s="2" t="s">
        <v>125</v>
      </c>
      <c r="D63" s="2" t="s">
        <v>27</v>
      </c>
      <c r="E63" s="2" t="s">
        <v>19</v>
      </c>
      <c r="F63" s="2">
        <v>9</v>
      </c>
      <c r="G63" s="24">
        <v>5235</v>
      </c>
      <c r="H63" s="25">
        <v>47115</v>
      </c>
    </row>
    <row r="64" spans="1:8" x14ac:dyDescent="0.25">
      <c r="A64" s="12" t="s">
        <v>126</v>
      </c>
      <c r="B64" s="3">
        <v>45528</v>
      </c>
      <c r="C64" s="2" t="s">
        <v>127</v>
      </c>
      <c r="D64" s="2" t="s">
        <v>24</v>
      </c>
      <c r="E64" s="2" t="s">
        <v>11</v>
      </c>
      <c r="F64" s="2">
        <v>8</v>
      </c>
      <c r="G64" s="24">
        <v>44564</v>
      </c>
      <c r="H64" s="25">
        <v>356512</v>
      </c>
    </row>
    <row r="65" spans="1:8" x14ac:dyDescent="0.25">
      <c r="A65" s="12" t="s">
        <v>128</v>
      </c>
      <c r="B65" s="3">
        <v>45532</v>
      </c>
      <c r="C65" s="2" t="s">
        <v>112</v>
      </c>
      <c r="D65" s="2" t="s">
        <v>24</v>
      </c>
      <c r="E65" s="2" t="s">
        <v>11</v>
      </c>
      <c r="F65" s="2">
        <v>5</v>
      </c>
      <c r="G65" s="24">
        <v>5055</v>
      </c>
      <c r="H65" s="25">
        <v>25275</v>
      </c>
    </row>
    <row r="66" spans="1:8" x14ac:dyDescent="0.25">
      <c r="A66" s="12" t="s">
        <v>129</v>
      </c>
      <c r="B66" s="3">
        <v>45468</v>
      </c>
      <c r="C66" s="2" t="s">
        <v>130</v>
      </c>
      <c r="D66" s="2" t="s">
        <v>59</v>
      </c>
      <c r="E66" s="2" t="s">
        <v>11</v>
      </c>
      <c r="F66" s="2">
        <v>2</v>
      </c>
      <c r="G66" s="24">
        <v>42414</v>
      </c>
      <c r="H66" s="25">
        <v>84828</v>
      </c>
    </row>
    <row r="67" spans="1:8" x14ac:dyDescent="0.25">
      <c r="A67" s="12" t="s">
        <v>131</v>
      </c>
      <c r="B67" s="3">
        <v>45446</v>
      </c>
      <c r="C67" s="2" t="s">
        <v>132</v>
      </c>
      <c r="D67" s="2" t="s">
        <v>14</v>
      </c>
      <c r="E67" s="2" t="s">
        <v>44</v>
      </c>
      <c r="F67" s="2">
        <v>5</v>
      </c>
      <c r="G67" s="24">
        <v>41318</v>
      </c>
      <c r="H67" s="25">
        <v>206590</v>
      </c>
    </row>
    <row r="68" spans="1:8" x14ac:dyDescent="0.25">
      <c r="A68" s="12" t="s">
        <v>133</v>
      </c>
      <c r="B68" s="3">
        <v>45116</v>
      </c>
      <c r="C68" s="2" t="s">
        <v>17</v>
      </c>
      <c r="D68" s="2" t="s">
        <v>18</v>
      </c>
      <c r="E68" s="2" t="s">
        <v>11</v>
      </c>
      <c r="F68" s="2">
        <v>8</v>
      </c>
      <c r="G68" s="24">
        <v>46025</v>
      </c>
      <c r="H68" s="25">
        <v>368200</v>
      </c>
    </row>
    <row r="69" spans="1:8" x14ac:dyDescent="0.25">
      <c r="A69" s="12" t="s">
        <v>134</v>
      </c>
      <c r="B69" s="3">
        <v>45148</v>
      </c>
      <c r="C69" s="2" t="s">
        <v>135</v>
      </c>
      <c r="D69" s="2" t="s">
        <v>41</v>
      </c>
      <c r="E69" s="2" t="s">
        <v>44</v>
      </c>
      <c r="F69" s="2">
        <v>9</v>
      </c>
      <c r="G69" s="24">
        <v>20330</v>
      </c>
      <c r="H69" s="25">
        <v>182970</v>
      </c>
    </row>
    <row r="70" spans="1:8" x14ac:dyDescent="0.25">
      <c r="A70" s="12" t="s">
        <v>136</v>
      </c>
      <c r="B70" s="3">
        <v>45226</v>
      </c>
      <c r="C70" s="2" t="s">
        <v>137</v>
      </c>
      <c r="D70" s="2" t="s">
        <v>14</v>
      </c>
      <c r="E70" s="2" t="s">
        <v>44</v>
      </c>
      <c r="F70" s="2">
        <v>9</v>
      </c>
      <c r="G70" s="24">
        <v>17929</v>
      </c>
      <c r="H70" s="25">
        <v>161361</v>
      </c>
    </row>
    <row r="71" spans="1:8" x14ac:dyDescent="0.25">
      <c r="A71" s="12" t="s">
        <v>138</v>
      </c>
      <c r="B71" s="3">
        <v>45100</v>
      </c>
      <c r="C71" s="2" t="s">
        <v>58</v>
      </c>
      <c r="D71" s="2" t="s">
        <v>59</v>
      </c>
      <c r="E71" s="2" t="s">
        <v>19</v>
      </c>
      <c r="F71" s="2">
        <v>1</v>
      </c>
      <c r="G71" s="24">
        <v>7393</v>
      </c>
      <c r="H71" s="25">
        <v>7393</v>
      </c>
    </row>
    <row r="72" spans="1:8" x14ac:dyDescent="0.25">
      <c r="A72" s="12" t="s">
        <v>139</v>
      </c>
      <c r="B72" s="3">
        <v>45030</v>
      </c>
      <c r="C72" s="2" t="s">
        <v>140</v>
      </c>
      <c r="D72" s="2" t="s">
        <v>24</v>
      </c>
      <c r="E72" s="2" t="s">
        <v>19</v>
      </c>
      <c r="F72" s="2">
        <v>9</v>
      </c>
      <c r="G72" s="24">
        <v>14873</v>
      </c>
      <c r="H72" s="25">
        <v>133857</v>
      </c>
    </row>
    <row r="73" spans="1:8" x14ac:dyDescent="0.25">
      <c r="A73" s="12" t="s">
        <v>141</v>
      </c>
      <c r="B73" s="3">
        <v>45008</v>
      </c>
      <c r="C73" s="2" t="s">
        <v>83</v>
      </c>
      <c r="D73" s="2" t="s">
        <v>27</v>
      </c>
      <c r="E73" s="2" t="s">
        <v>44</v>
      </c>
      <c r="F73" s="2">
        <v>7</v>
      </c>
      <c r="G73" s="24">
        <v>47833</v>
      </c>
      <c r="H73" s="25">
        <v>334831</v>
      </c>
    </row>
    <row r="74" spans="1:8" x14ac:dyDescent="0.25">
      <c r="A74" s="12" t="s">
        <v>142</v>
      </c>
      <c r="B74" s="3">
        <v>45339</v>
      </c>
      <c r="C74" s="2" t="s">
        <v>143</v>
      </c>
      <c r="D74" s="2" t="s">
        <v>14</v>
      </c>
      <c r="E74" s="2" t="s">
        <v>15</v>
      </c>
      <c r="F74" s="2">
        <v>9</v>
      </c>
      <c r="G74" s="24">
        <v>3936</v>
      </c>
      <c r="H74" s="25">
        <v>35424</v>
      </c>
    </row>
    <row r="75" spans="1:8" x14ac:dyDescent="0.25">
      <c r="A75" s="12" t="s">
        <v>144</v>
      </c>
      <c r="B75" s="3">
        <v>45547</v>
      </c>
      <c r="C75" s="2" t="s">
        <v>145</v>
      </c>
      <c r="D75" s="2" t="s">
        <v>27</v>
      </c>
      <c r="E75" s="2" t="s">
        <v>15</v>
      </c>
      <c r="F75" s="2">
        <v>8</v>
      </c>
      <c r="G75" s="24">
        <v>9254</v>
      </c>
      <c r="H75" s="25">
        <v>74032</v>
      </c>
    </row>
    <row r="76" spans="1:8" x14ac:dyDescent="0.25">
      <c r="A76" s="12" t="s">
        <v>146</v>
      </c>
      <c r="B76" s="3">
        <v>45305</v>
      </c>
      <c r="C76" s="2" t="s">
        <v>147</v>
      </c>
      <c r="D76" s="2" t="s">
        <v>59</v>
      </c>
      <c r="E76" s="2" t="s">
        <v>15</v>
      </c>
      <c r="F76" s="2">
        <v>1</v>
      </c>
      <c r="G76" s="24">
        <v>11177</v>
      </c>
      <c r="H76" s="25">
        <v>11177</v>
      </c>
    </row>
    <row r="77" spans="1:8" x14ac:dyDescent="0.25">
      <c r="A77" s="12" t="s">
        <v>148</v>
      </c>
      <c r="B77" s="3">
        <v>45463</v>
      </c>
      <c r="C77" s="2" t="s">
        <v>52</v>
      </c>
      <c r="D77" s="2" t="s">
        <v>14</v>
      </c>
      <c r="E77" s="2" t="s">
        <v>15</v>
      </c>
      <c r="F77" s="2">
        <v>8</v>
      </c>
      <c r="G77" s="24">
        <v>6395</v>
      </c>
      <c r="H77" s="25">
        <v>51160</v>
      </c>
    </row>
    <row r="78" spans="1:8" x14ac:dyDescent="0.25">
      <c r="A78" s="12" t="s">
        <v>149</v>
      </c>
      <c r="B78" s="3">
        <v>45345</v>
      </c>
      <c r="C78" s="2" t="s">
        <v>150</v>
      </c>
      <c r="D78" s="2" t="s">
        <v>18</v>
      </c>
      <c r="E78" s="2" t="s">
        <v>44</v>
      </c>
      <c r="F78" s="2">
        <v>8</v>
      </c>
      <c r="G78" s="24">
        <v>20238</v>
      </c>
      <c r="H78" s="25">
        <v>161904</v>
      </c>
    </row>
    <row r="79" spans="1:8" x14ac:dyDescent="0.25">
      <c r="A79" s="12" t="s">
        <v>151</v>
      </c>
      <c r="B79" s="3">
        <v>44947</v>
      </c>
      <c r="C79" s="2" t="s">
        <v>152</v>
      </c>
      <c r="D79" s="2" t="s">
        <v>10</v>
      </c>
      <c r="E79" s="2" t="s">
        <v>44</v>
      </c>
      <c r="F79" s="2">
        <v>3</v>
      </c>
      <c r="G79" s="24">
        <v>31246</v>
      </c>
      <c r="H79" s="25">
        <v>93738</v>
      </c>
    </row>
    <row r="80" spans="1:8" x14ac:dyDescent="0.25">
      <c r="A80" s="12" t="s">
        <v>153</v>
      </c>
      <c r="B80" s="3">
        <v>44976</v>
      </c>
      <c r="C80" s="2" t="s">
        <v>92</v>
      </c>
      <c r="D80" s="2" t="s">
        <v>27</v>
      </c>
      <c r="E80" s="2" t="s">
        <v>19</v>
      </c>
      <c r="F80" s="2">
        <v>1</v>
      </c>
      <c r="G80" s="24">
        <v>49877</v>
      </c>
      <c r="H80" s="25">
        <v>49877</v>
      </c>
    </row>
    <row r="81" spans="1:8" x14ac:dyDescent="0.25">
      <c r="A81" s="12" t="s">
        <v>154</v>
      </c>
      <c r="B81" s="3">
        <v>44959</v>
      </c>
      <c r="C81" s="2" t="s">
        <v>155</v>
      </c>
      <c r="D81" s="2" t="s">
        <v>59</v>
      </c>
      <c r="E81" s="2" t="s">
        <v>19</v>
      </c>
      <c r="F81" s="2">
        <v>8</v>
      </c>
      <c r="G81" s="24">
        <v>48904</v>
      </c>
      <c r="H81" s="25">
        <v>391232</v>
      </c>
    </row>
    <row r="82" spans="1:8" x14ac:dyDescent="0.25">
      <c r="A82" s="12" t="s">
        <v>156</v>
      </c>
      <c r="B82" s="3">
        <v>45366</v>
      </c>
      <c r="C82" s="2" t="s">
        <v>117</v>
      </c>
      <c r="D82" s="2" t="s">
        <v>10</v>
      </c>
      <c r="E82" s="2" t="s">
        <v>44</v>
      </c>
      <c r="F82" s="2">
        <v>3</v>
      </c>
      <c r="G82" s="24">
        <v>32852</v>
      </c>
      <c r="H82" s="25">
        <v>98556</v>
      </c>
    </row>
    <row r="83" spans="1:8" x14ac:dyDescent="0.25">
      <c r="A83" s="12" t="s">
        <v>157</v>
      </c>
      <c r="B83" s="3">
        <v>45478</v>
      </c>
      <c r="C83" s="2" t="s">
        <v>150</v>
      </c>
      <c r="D83" s="2" t="s">
        <v>27</v>
      </c>
      <c r="E83" s="2" t="s">
        <v>44</v>
      </c>
      <c r="F83" s="2">
        <v>3</v>
      </c>
      <c r="G83" s="24">
        <v>40290</v>
      </c>
      <c r="H83" s="25">
        <v>120870</v>
      </c>
    </row>
    <row r="84" spans="1:8" x14ac:dyDescent="0.25">
      <c r="A84" s="12" t="s">
        <v>158</v>
      </c>
      <c r="B84" s="3">
        <v>45531</v>
      </c>
      <c r="C84" s="2" t="s">
        <v>159</v>
      </c>
      <c r="D84" s="2" t="s">
        <v>24</v>
      </c>
      <c r="E84" s="2" t="s">
        <v>44</v>
      </c>
      <c r="F84" s="2">
        <v>1</v>
      </c>
      <c r="G84" s="24">
        <v>42419</v>
      </c>
      <c r="H84" s="25">
        <v>42419</v>
      </c>
    </row>
    <row r="85" spans="1:8" x14ac:dyDescent="0.25">
      <c r="A85" s="12" t="s">
        <v>160</v>
      </c>
      <c r="B85" s="3">
        <v>45118</v>
      </c>
      <c r="C85" s="2" t="s">
        <v>86</v>
      </c>
      <c r="D85" s="2" t="s">
        <v>18</v>
      </c>
      <c r="E85" s="2" t="s">
        <v>44</v>
      </c>
      <c r="F85" s="2">
        <v>5</v>
      </c>
      <c r="G85" s="24">
        <v>6100</v>
      </c>
      <c r="H85" s="25">
        <v>30500</v>
      </c>
    </row>
    <row r="86" spans="1:8" x14ac:dyDescent="0.25">
      <c r="A86" s="12" t="s">
        <v>161</v>
      </c>
      <c r="B86" s="3">
        <v>44986</v>
      </c>
      <c r="C86" s="2" t="s">
        <v>162</v>
      </c>
      <c r="D86" s="2" t="s">
        <v>59</v>
      </c>
      <c r="E86" s="2" t="s">
        <v>15</v>
      </c>
      <c r="F86" s="2">
        <v>7</v>
      </c>
      <c r="G86" s="24">
        <v>29624</v>
      </c>
      <c r="H86" s="25">
        <v>207368</v>
      </c>
    </row>
    <row r="87" spans="1:8" x14ac:dyDescent="0.25">
      <c r="A87" s="12" t="s">
        <v>163</v>
      </c>
      <c r="B87" s="3">
        <v>45620</v>
      </c>
      <c r="C87" s="2" t="s">
        <v>100</v>
      </c>
      <c r="D87" s="2" t="s">
        <v>41</v>
      </c>
      <c r="E87" s="2" t="s">
        <v>44</v>
      </c>
      <c r="F87" s="2">
        <v>9</v>
      </c>
      <c r="G87" s="24">
        <v>28143</v>
      </c>
      <c r="H87" s="25">
        <v>253287</v>
      </c>
    </row>
    <row r="88" spans="1:8" x14ac:dyDescent="0.25">
      <c r="A88" s="12" t="s">
        <v>164</v>
      </c>
      <c r="B88" s="3">
        <v>45151</v>
      </c>
      <c r="C88" s="2" t="s">
        <v>155</v>
      </c>
      <c r="D88" s="2" t="s">
        <v>18</v>
      </c>
      <c r="E88" s="2" t="s">
        <v>44</v>
      </c>
      <c r="F88" s="2">
        <v>7</v>
      </c>
      <c r="G88" s="24">
        <v>41264</v>
      </c>
      <c r="H88" s="25">
        <v>288848</v>
      </c>
    </row>
    <row r="89" spans="1:8" x14ac:dyDescent="0.25">
      <c r="A89" s="12" t="s">
        <v>165</v>
      </c>
      <c r="B89" s="3">
        <v>45187</v>
      </c>
      <c r="C89" s="2" t="s">
        <v>140</v>
      </c>
      <c r="D89" s="2" t="s">
        <v>59</v>
      </c>
      <c r="E89" s="2" t="s">
        <v>15</v>
      </c>
      <c r="F89" s="2">
        <v>9</v>
      </c>
      <c r="G89" s="24">
        <v>9507</v>
      </c>
      <c r="H89" s="25">
        <v>85563</v>
      </c>
    </row>
    <row r="90" spans="1:8" x14ac:dyDescent="0.25">
      <c r="A90" s="12" t="s">
        <v>166</v>
      </c>
      <c r="B90" s="3">
        <v>44996</v>
      </c>
      <c r="C90" s="2" t="s">
        <v>80</v>
      </c>
      <c r="D90" s="2" t="s">
        <v>24</v>
      </c>
      <c r="E90" s="2" t="s">
        <v>44</v>
      </c>
      <c r="F90" s="2">
        <v>8</v>
      </c>
      <c r="G90" s="24">
        <v>46214</v>
      </c>
      <c r="H90" s="25">
        <v>369712</v>
      </c>
    </row>
    <row r="91" spans="1:8" x14ac:dyDescent="0.25">
      <c r="A91" s="12" t="s">
        <v>167</v>
      </c>
      <c r="B91" s="3">
        <v>45225</v>
      </c>
      <c r="C91" s="2" t="s">
        <v>168</v>
      </c>
      <c r="D91" s="2" t="s">
        <v>59</v>
      </c>
      <c r="E91" s="2" t="s">
        <v>15</v>
      </c>
      <c r="F91" s="2">
        <v>2</v>
      </c>
      <c r="G91" s="24">
        <v>37910</v>
      </c>
      <c r="H91" s="25">
        <v>75820</v>
      </c>
    </row>
    <row r="92" spans="1:8" x14ac:dyDescent="0.25">
      <c r="A92" s="12" t="s">
        <v>169</v>
      </c>
      <c r="B92" s="3">
        <v>45432</v>
      </c>
      <c r="C92" s="2" t="s">
        <v>76</v>
      </c>
      <c r="D92" s="2" t="s">
        <v>10</v>
      </c>
      <c r="E92" s="2" t="s">
        <v>19</v>
      </c>
      <c r="F92" s="2">
        <v>1</v>
      </c>
      <c r="G92" s="24">
        <v>44580</v>
      </c>
      <c r="H92" s="25">
        <v>44580</v>
      </c>
    </row>
    <row r="93" spans="1:8" x14ac:dyDescent="0.25">
      <c r="A93" s="12" t="s">
        <v>170</v>
      </c>
      <c r="B93" s="3">
        <v>45472</v>
      </c>
      <c r="C93" s="2" t="s">
        <v>72</v>
      </c>
      <c r="D93" s="2" t="s">
        <v>10</v>
      </c>
      <c r="E93" s="2" t="s">
        <v>15</v>
      </c>
      <c r="F93" s="2">
        <v>7</v>
      </c>
      <c r="G93" s="24">
        <v>40947</v>
      </c>
      <c r="H93" s="25">
        <v>286629</v>
      </c>
    </row>
    <row r="94" spans="1:8" x14ac:dyDescent="0.25">
      <c r="A94" s="12" t="s">
        <v>171</v>
      </c>
      <c r="B94" s="3">
        <v>45542</v>
      </c>
      <c r="C94" s="2" t="s">
        <v>104</v>
      </c>
      <c r="D94" s="2" t="s">
        <v>41</v>
      </c>
      <c r="E94" s="2" t="s">
        <v>19</v>
      </c>
      <c r="F94" s="2">
        <v>7</v>
      </c>
      <c r="G94" s="24">
        <v>8708</v>
      </c>
      <c r="H94" s="25">
        <v>60956</v>
      </c>
    </row>
    <row r="95" spans="1:8" x14ac:dyDescent="0.25">
      <c r="A95" s="12" t="s">
        <v>172</v>
      </c>
      <c r="B95" s="3">
        <v>45169</v>
      </c>
      <c r="C95" s="2" t="s">
        <v>173</v>
      </c>
      <c r="D95" s="2" t="s">
        <v>59</v>
      </c>
      <c r="E95" s="2" t="s">
        <v>11</v>
      </c>
      <c r="F95" s="2">
        <v>8</v>
      </c>
      <c r="G95" s="24">
        <v>19089</v>
      </c>
      <c r="H95" s="25">
        <v>152712</v>
      </c>
    </row>
    <row r="96" spans="1:8" x14ac:dyDescent="0.25">
      <c r="A96" s="12" t="s">
        <v>174</v>
      </c>
      <c r="B96" s="3">
        <v>45322</v>
      </c>
      <c r="C96" s="2" t="s">
        <v>104</v>
      </c>
      <c r="D96" s="2" t="s">
        <v>27</v>
      </c>
      <c r="E96" s="2" t="s">
        <v>44</v>
      </c>
      <c r="F96" s="2">
        <v>5</v>
      </c>
      <c r="G96" s="24">
        <v>43984</v>
      </c>
      <c r="H96" s="25">
        <v>219920</v>
      </c>
    </row>
    <row r="97" spans="1:8" x14ac:dyDescent="0.25">
      <c r="A97" s="12" t="s">
        <v>175</v>
      </c>
      <c r="B97" s="3">
        <v>45297</v>
      </c>
      <c r="C97" s="2" t="s">
        <v>110</v>
      </c>
      <c r="D97" s="2" t="s">
        <v>18</v>
      </c>
      <c r="E97" s="2" t="s">
        <v>19</v>
      </c>
      <c r="F97" s="2">
        <v>3</v>
      </c>
      <c r="G97" s="24">
        <v>17953</v>
      </c>
      <c r="H97" s="25">
        <v>53859</v>
      </c>
    </row>
    <row r="98" spans="1:8" x14ac:dyDescent="0.25">
      <c r="A98" s="12" t="s">
        <v>176</v>
      </c>
      <c r="B98" s="3">
        <v>45203</v>
      </c>
      <c r="C98" s="2" t="s">
        <v>98</v>
      </c>
      <c r="D98" s="2" t="s">
        <v>59</v>
      </c>
      <c r="E98" s="2" t="s">
        <v>44</v>
      </c>
      <c r="F98" s="2">
        <v>8</v>
      </c>
      <c r="G98" s="24">
        <v>36712</v>
      </c>
      <c r="H98" s="25">
        <v>293696</v>
      </c>
    </row>
    <row r="99" spans="1:8" x14ac:dyDescent="0.25">
      <c r="A99" s="12" t="s">
        <v>177</v>
      </c>
      <c r="B99" s="3">
        <v>45400</v>
      </c>
      <c r="C99" s="2" t="s">
        <v>178</v>
      </c>
      <c r="D99" s="2" t="s">
        <v>27</v>
      </c>
      <c r="E99" s="2" t="s">
        <v>11</v>
      </c>
      <c r="F99" s="2">
        <v>6</v>
      </c>
      <c r="G99" s="24">
        <v>44025</v>
      </c>
      <c r="H99" s="25">
        <v>264150</v>
      </c>
    </row>
    <row r="100" spans="1:8" x14ac:dyDescent="0.25">
      <c r="A100" s="12" t="s">
        <v>179</v>
      </c>
      <c r="B100" s="3">
        <v>45229</v>
      </c>
      <c r="C100" s="2" t="s">
        <v>143</v>
      </c>
      <c r="D100" s="2" t="s">
        <v>18</v>
      </c>
      <c r="E100" s="2" t="s">
        <v>19</v>
      </c>
      <c r="F100" s="2">
        <v>3</v>
      </c>
      <c r="G100" s="24">
        <v>47702</v>
      </c>
      <c r="H100" s="25">
        <v>143106</v>
      </c>
    </row>
    <row r="101" spans="1:8" x14ac:dyDescent="0.25">
      <c r="A101" s="12" t="s">
        <v>180</v>
      </c>
      <c r="B101" s="3">
        <v>45064</v>
      </c>
      <c r="C101" s="2" t="s">
        <v>83</v>
      </c>
      <c r="D101" s="2" t="s">
        <v>10</v>
      </c>
      <c r="E101" s="2" t="s">
        <v>19</v>
      </c>
      <c r="F101" s="2">
        <v>1</v>
      </c>
      <c r="G101" s="24">
        <v>33135</v>
      </c>
      <c r="H101" s="25">
        <v>33135</v>
      </c>
    </row>
    <row r="102" spans="1:8" x14ac:dyDescent="0.25">
      <c r="A102" s="12" t="s">
        <v>181</v>
      </c>
      <c r="B102" s="3">
        <v>45078</v>
      </c>
      <c r="C102" s="2" t="s">
        <v>182</v>
      </c>
      <c r="D102" s="2" t="s">
        <v>41</v>
      </c>
      <c r="E102" s="2" t="s">
        <v>11</v>
      </c>
      <c r="F102" s="2">
        <v>3</v>
      </c>
      <c r="G102" s="24">
        <v>34328</v>
      </c>
      <c r="H102" s="25">
        <v>102984</v>
      </c>
    </row>
    <row r="103" spans="1:8" x14ac:dyDescent="0.25">
      <c r="A103" s="12" t="s">
        <v>183</v>
      </c>
      <c r="B103" s="3">
        <v>45031</v>
      </c>
      <c r="C103" s="2" t="s">
        <v>184</v>
      </c>
      <c r="D103" s="2" t="s">
        <v>10</v>
      </c>
      <c r="E103" s="2" t="s">
        <v>11</v>
      </c>
      <c r="F103" s="2">
        <v>5</v>
      </c>
      <c r="G103" s="24">
        <v>19211</v>
      </c>
      <c r="H103" s="25">
        <v>96055</v>
      </c>
    </row>
    <row r="104" spans="1:8" x14ac:dyDescent="0.25">
      <c r="A104" s="12" t="s">
        <v>185</v>
      </c>
      <c r="B104" s="3">
        <v>45037</v>
      </c>
      <c r="C104" s="2" t="s">
        <v>21</v>
      </c>
      <c r="D104" s="2" t="s">
        <v>10</v>
      </c>
      <c r="E104" s="2" t="s">
        <v>44</v>
      </c>
      <c r="F104" s="2">
        <v>3</v>
      </c>
      <c r="G104" s="24">
        <v>3920</v>
      </c>
      <c r="H104" s="25">
        <v>11760</v>
      </c>
    </row>
    <row r="105" spans="1:8" x14ac:dyDescent="0.25">
      <c r="A105" s="12" t="s">
        <v>186</v>
      </c>
      <c r="B105" s="3">
        <v>45497</v>
      </c>
      <c r="C105" s="2" t="s">
        <v>117</v>
      </c>
      <c r="D105" s="2" t="s">
        <v>59</v>
      </c>
      <c r="E105" s="2" t="s">
        <v>44</v>
      </c>
      <c r="F105" s="2">
        <v>1</v>
      </c>
      <c r="G105" s="24">
        <v>31716</v>
      </c>
      <c r="H105" s="25">
        <v>31716</v>
      </c>
    </row>
    <row r="106" spans="1:8" x14ac:dyDescent="0.25">
      <c r="A106" s="12" t="s">
        <v>187</v>
      </c>
      <c r="B106" s="3">
        <v>45051</v>
      </c>
      <c r="C106" s="2" t="s">
        <v>188</v>
      </c>
      <c r="D106" s="2" t="s">
        <v>10</v>
      </c>
      <c r="E106" s="2" t="s">
        <v>44</v>
      </c>
      <c r="F106" s="2">
        <v>5</v>
      </c>
      <c r="G106" s="24">
        <v>801</v>
      </c>
      <c r="H106" s="25">
        <v>4005</v>
      </c>
    </row>
    <row r="107" spans="1:8" x14ac:dyDescent="0.25">
      <c r="A107" s="12" t="s">
        <v>189</v>
      </c>
      <c r="B107" s="3">
        <v>45356</v>
      </c>
      <c r="C107" s="2" t="s">
        <v>92</v>
      </c>
      <c r="D107" s="2" t="s">
        <v>27</v>
      </c>
      <c r="E107" s="2" t="s">
        <v>15</v>
      </c>
      <c r="F107" s="2">
        <v>7</v>
      </c>
      <c r="G107" s="24">
        <v>45736</v>
      </c>
      <c r="H107" s="25">
        <v>320152</v>
      </c>
    </row>
    <row r="108" spans="1:8" x14ac:dyDescent="0.25">
      <c r="A108" s="12" t="s">
        <v>190</v>
      </c>
      <c r="B108" s="3">
        <v>45592</v>
      </c>
      <c r="C108" s="2" t="s">
        <v>173</v>
      </c>
      <c r="D108" s="2" t="s">
        <v>24</v>
      </c>
      <c r="E108" s="2" t="s">
        <v>19</v>
      </c>
      <c r="F108" s="2">
        <v>7</v>
      </c>
      <c r="G108" s="24">
        <v>1199</v>
      </c>
      <c r="H108" s="25">
        <v>8393</v>
      </c>
    </row>
    <row r="109" spans="1:8" x14ac:dyDescent="0.25">
      <c r="A109" s="12" t="s">
        <v>191</v>
      </c>
      <c r="B109" s="3">
        <v>45519</v>
      </c>
      <c r="C109" s="2" t="s">
        <v>192</v>
      </c>
      <c r="D109" s="2" t="s">
        <v>24</v>
      </c>
      <c r="E109" s="2" t="s">
        <v>11</v>
      </c>
      <c r="F109" s="2">
        <v>9</v>
      </c>
      <c r="G109" s="24">
        <v>690</v>
      </c>
      <c r="H109" s="25">
        <v>6210</v>
      </c>
    </row>
    <row r="110" spans="1:8" x14ac:dyDescent="0.25">
      <c r="A110" s="12" t="s">
        <v>193</v>
      </c>
      <c r="B110" s="3">
        <v>44943</v>
      </c>
      <c r="C110" s="2" t="s">
        <v>182</v>
      </c>
      <c r="D110" s="2" t="s">
        <v>41</v>
      </c>
      <c r="E110" s="2" t="s">
        <v>15</v>
      </c>
      <c r="F110" s="2">
        <v>3</v>
      </c>
      <c r="G110" s="24">
        <v>10992</v>
      </c>
      <c r="H110" s="25">
        <v>32976</v>
      </c>
    </row>
    <row r="111" spans="1:8" x14ac:dyDescent="0.25">
      <c r="A111" s="12" t="s">
        <v>194</v>
      </c>
      <c r="B111" s="3">
        <v>45255</v>
      </c>
      <c r="C111" s="2" t="s">
        <v>143</v>
      </c>
      <c r="D111" s="2" t="s">
        <v>59</v>
      </c>
      <c r="E111" s="2" t="s">
        <v>15</v>
      </c>
      <c r="F111" s="2">
        <v>7</v>
      </c>
      <c r="G111" s="24">
        <v>36243</v>
      </c>
      <c r="H111" s="25">
        <v>253701</v>
      </c>
    </row>
    <row r="112" spans="1:8" x14ac:dyDescent="0.25">
      <c r="A112" s="12" t="s">
        <v>195</v>
      </c>
      <c r="B112" s="3">
        <v>45057</v>
      </c>
      <c r="C112" s="2" t="s">
        <v>110</v>
      </c>
      <c r="D112" s="2" t="s">
        <v>18</v>
      </c>
      <c r="E112" s="2" t="s">
        <v>19</v>
      </c>
      <c r="F112" s="2">
        <v>1</v>
      </c>
      <c r="G112" s="24">
        <v>6602</v>
      </c>
      <c r="H112" s="25">
        <v>6602</v>
      </c>
    </row>
    <row r="113" spans="1:8" x14ac:dyDescent="0.25">
      <c r="A113" s="12" t="s">
        <v>196</v>
      </c>
      <c r="B113" s="3">
        <v>45202</v>
      </c>
      <c r="C113" s="2" t="s">
        <v>197</v>
      </c>
      <c r="D113" s="2" t="s">
        <v>18</v>
      </c>
      <c r="E113" s="2" t="s">
        <v>19</v>
      </c>
      <c r="F113" s="2">
        <v>4</v>
      </c>
      <c r="G113" s="24">
        <v>20278</v>
      </c>
      <c r="H113" s="25">
        <v>81112</v>
      </c>
    </row>
    <row r="114" spans="1:8" x14ac:dyDescent="0.25">
      <c r="A114" s="12" t="s">
        <v>198</v>
      </c>
      <c r="B114" s="3">
        <v>45555</v>
      </c>
      <c r="C114" s="2" t="s">
        <v>66</v>
      </c>
      <c r="D114" s="2" t="s">
        <v>10</v>
      </c>
      <c r="E114" s="2" t="s">
        <v>19</v>
      </c>
      <c r="F114" s="2">
        <v>4</v>
      </c>
      <c r="G114" s="24">
        <v>27141</v>
      </c>
      <c r="H114" s="25">
        <v>108564</v>
      </c>
    </row>
    <row r="115" spans="1:8" x14ac:dyDescent="0.25">
      <c r="A115" s="12" t="s">
        <v>199</v>
      </c>
      <c r="B115" s="3">
        <v>45382</v>
      </c>
      <c r="C115" s="2" t="s">
        <v>200</v>
      </c>
      <c r="D115" s="2" t="s">
        <v>24</v>
      </c>
      <c r="E115" s="2" t="s">
        <v>15</v>
      </c>
      <c r="F115" s="2">
        <v>5</v>
      </c>
      <c r="G115" s="24">
        <v>35084</v>
      </c>
      <c r="H115" s="25">
        <v>175420</v>
      </c>
    </row>
    <row r="116" spans="1:8" x14ac:dyDescent="0.25">
      <c r="A116" s="12" t="s">
        <v>201</v>
      </c>
      <c r="B116" s="3">
        <v>45493</v>
      </c>
      <c r="C116" s="2" t="s">
        <v>108</v>
      </c>
      <c r="D116" s="2" t="s">
        <v>14</v>
      </c>
      <c r="E116" s="2" t="s">
        <v>11</v>
      </c>
      <c r="F116" s="2">
        <v>7</v>
      </c>
      <c r="G116" s="24">
        <v>33245</v>
      </c>
      <c r="H116" s="25">
        <v>232715</v>
      </c>
    </row>
    <row r="117" spans="1:8" x14ac:dyDescent="0.25">
      <c r="A117" s="12" t="s">
        <v>202</v>
      </c>
      <c r="B117" s="3">
        <v>45011</v>
      </c>
      <c r="C117" s="2" t="s">
        <v>55</v>
      </c>
      <c r="D117" s="2" t="s">
        <v>24</v>
      </c>
      <c r="E117" s="2" t="s">
        <v>44</v>
      </c>
      <c r="F117" s="2">
        <v>7</v>
      </c>
      <c r="G117" s="24">
        <v>23593</v>
      </c>
      <c r="H117" s="25">
        <v>165151</v>
      </c>
    </row>
    <row r="118" spans="1:8" x14ac:dyDescent="0.25">
      <c r="A118" s="12" t="s">
        <v>203</v>
      </c>
      <c r="B118" s="3">
        <v>45634</v>
      </c>
      <c r="C118" s="2" t="s">
        <v>17</v>
      </c>
      <c r="D118" s="2" t="s">
        <v>14</v>
      </c>
      <c r="E118" s="2" t="s">
        <v>19</v>
      </c>
      <c r="F118" s="2">
        <v>4</v>
      </c>
      <c r="G118" s="24">
        <v>1069</v>
      </c>
      <c r="H118" s="25">
        <v>4276</v>
      </c>
    </row>
    <row r="119" spans="1:8" x14ac:dyDescent="0.25">
      <c r="A119" s="12" t="s">
        <v>204</v>
      </c>
      <c r="B119" s="3">
        <v>45255</v>
      </c>
      <c r="C119" s="2" t="s">
        <v>205</v>
      </c>
      <c r="D119" s="2" t="s">
        <v>59</v>
      </c>
      <c r="E119" s="2" t="s">
        <v>44</v>
      </c>
      <c r="F119" s="2">
        <v>7</v>
      </c>
      <c r="G119" s="24">
        <v>38710</v>
      </c>
      <c r="H119" s="25">
        <v>270970</v>
      </c>
    </row>
    <row r="120" spans="1:8" x14ac:dyDescent="0.25">
      <c r="A120" s="12" t="s">
        <v>206</v>
      </c>
      <c r="B120" s="3">
        <v>45152</v>
      </c>
      <c r="C120" s="2" t="s">
        <v>152</v>
      </c>
      <c r="D120" s="2" t="s">
        <v>41</v>
      </c>
      <c r="E120" s="2" t="s">
        <v>44</v>
      </c>
      <c r="F120" s="2">
        <v>3</v>
      </c>
      <c r="G120" s="24">
        <v>35163</v>
      </c>
      <c r="H120" s="25">
        <v>105489</v>
      </c>
    </row>
    <row r="121" spans="1:8" x14ac:dyDescent="0.25">
      <c r="A121" s="12" t="s">
        <v>207</v>
      </c>
      <c r="B121" s="3">
        <v>45065</v>
      </c>
      <c r="C121" s="2" t="s">
        <v>76</v>
      </c>
      <c r="D121" s="2" t="s">
        <v>14</v>
      </c>
      <c r="E121" s="2" t="s">
        <v>15</v>
      </c>
      <c r="F121" s="2">
        <v>6</v>
      </c>
      <c r="G121" s="24">
        <v>37131</v>
      </c>
      <c r="H121" s="25">
        <v>222786</v>
      </c>
    </row>
    <row r="122" spans="1:8" x14ac:dyDescent="0.25">
      <c r="A122" s="12" t="s">
        <v>208</v>
      </c>
      <c r="B122" s="3">
        <v>45476</v>
      </c>
      <c r="C122" s="2" t="s">
        <v>209</v>
      </c>
      <c r="D122" s="2" t="s">
        <v>10</v>
      </c>
      <c r="E122" s="2" t="s">
        <v>44</v>
      </c>
      <c r="F122" s="2">
        <v>2</v>
      </c>
      <c r="G122" s="24">
        <v>46181</v>
      </c>
      <c r="H122" s="25">
        <v>92362</v>
      </c>
    </row>
    <row r="123" spans="1:8" x14ac:dyDescent="0.25">
      <c r="A123" s="12" t="s">
        <v>210</v>
      </c>
      <c r="B123" s="3">
        <v>45122</v>
      </c>
      <c r="C123" s="2" t="s">
        <v>13</v>
      </c>
      <c r="D123" s="2" t="s">
        <v>59</v>
      </c>
      <c r="E123" s="2" t="s">
        <v>44</v>
      </c>
      <c r="F123" s="2">
        <v>9</v>
      </c>
      <c r="G123" s="24">
        <v>7955</v>
      </c>
      <c r="H123" s="25">
        <v>71595</v>
      </c>
    </row>
    <row r="124" spans="1:8" x14ac:dyDescent="0.25">
      <c r="A124" s="12" t="s">
        <v>211</v>
      </c>
      <c r="B124" s="3">
        <v>44939</v>
      </c>
      <c r="C124" s="2" t="s">
        <v>48</v>
      </c>
      <c r="D124" s="2" t="s">
        <v>24</v>
      </c>
      <c r="E124" s="2" t="s">
        <v>11</v>
      </c>
      <c r="F124" s="2">
        <v>5</v>
      </c>
      <c r="G124" s="24">
        <v>4514</v>
      </c>
      <c r="H124" s="25">
        <v>22570</v>
      </c>
    </row>
    <row r="125" spans="1:8" x14ac:dyDescent="0.25">
      <c r="A125" s="12" t="s">
        <v>212</v>
      </c>
      <c r="B125" s="3">
        <v>45270</v>
      </c>
      <c r="C125" s="2" t="s">
        <v>213</v>
      </c>
      <c r="D125" s="2" t="s">
        <v>41</v>
      </c>
      <c r="E125" s="2" t="s">
        <v>11</v>
      </c>
      <c r="F125" s="2">
        <v>6</v>
      </c>
      <c r="G125" s="24">
        <v>11593</v>
      </c>
      <c r="H125" s="25">
        <v>69558</v>
      </c>
    </row>
    <row r="126" spans="1:8" x14ac:dyDescent="0.25">
      <c r="A126" s="12" t="s">
        <v>214</v>
      </c>
      <c r="B126" s="3">
        <v>45059</v>
      </c>
      <c r="C126" s="2" t="s">
        <v>147</v>
      </c>
      <c r="D126" s="2" t="s">
        <v>24</v>
      </c>
      <c r="E126" s="2" t="s">
        <v>11</v>
      </c>
      <c r="F126" s="2">
        <v>4</v>
      </c>
      <c r="G126" s="24">
        <v>18570</v>
      </c>
      <c r="H126" s="25">
        <v>74280</v>
      </c>
    </row>
    <row r="127" spans="1:8" x14ac:dyDescent="0.25">
      <c r="A127" s="12" t="s">
        <v>215</v>
      </c>
      <c r="B127" s="3">
        <v>45311</v>
      </c>
      <c r="C127" s="2" t="s">
        <v>150</v>
      </c>
      <c r="D127" s="2" t="s">
        <v>24</v>
      </c>
      <c r="E127" s="2" t="s">
        <v>44</v>
      </c>
      <c r="F127" s="2">
        <v>7</v>
      </c>
      <c r="G127" s="24">
        <v>36277</v>
      </c>
      <c r="H127" s="25">
        <v>253939</v>
      </c>
    </row>
    <row r="128" spans="1:8" x14ac:dyDescent="0.25">
      <c r="A128" s="12" t="s">
        <v>216</v>
      </c>
      <c r="B128" s="3">
        <v>45140</v>
      </c>
      <c r="C128" s="2" t="s">
        <v>197</v>
      </c>
      <c r="D128" s="2" t="s">
        <v>24</v>
      </c>
      <c r="E128" s="2" t="s">
        <v>19</v>
      </c>
      <c r="F128" s="2">
        <v>9</v>
      </c>
      <c r="G128" s="24">
        <v>17038</v>
      </c>
      <c r="H128" s="25">
        <v>153342</v>
      </c>
    </row>
    <row r="129" spans="1:8" x14ac:dyDescent="0.25">
      <c r="A129" s="12" t="s">
        <v>217</v>
      </c>
      <c r="B129" s="3">
        <v>45571</v>
      </c>
      <c r="C129" s="2" t="s">
        <v>46</v>
      </c>
      <c r="D129" s="2" t="s">
        <v>41</v>
      </c>
      <c r="E129" s="2" t="s">
        <v>44</v>
      </c>
      <c r="F129" s="2">
        <v>7</v>
      </c>
      <c r="G129" s="24">
        <v>11229</v>
      </c>
      <c r="H129" s="25">
        <v>78603</v>
      </c>
    </row>
    <row r="130" spans="1:8" x14ac:dyDescent="0.25">
      <c r="A130" s="12" t="s">
        <v>218</v>
      </c>
      <c r="B130" s="3">
        <v>45442</v>
      </c>
      <c r="C130" s="2" t="s">
        <v>140</v>
      </c>
      <c r="D130" s="2" t="s">
        <v>14</v>
      </c>
      <c r="E130" s="2" t="s">
        <v>11</v>
      </c>
      <c r="F130" s="2">
        <v>1</v>
      </c>
      <c r="G130" s="24">
        <v>34677</v>
      </c>
      <c r="H130" s="25">
        <v>34677</v>
      </c>
    </row>
    <row r="131" spans="1:8" x14ac:dyDescent="0.25">
      <c r="A131" s="12" t="s">
        <v>219</v>
      </c>
      <c r="B131" s="3">
        <v>45130</v>
      </c>
      <c r="C131" s="2" t="s">
        <v>110</v>
      </c>
      <c r="D131" s="2" t="s">
        <v>14</v>
      </c>
      <c r="E131" s="2" t="s">
        <v>44</v>
      </c>
      <c r="F131" s="2">
        <v>1</v>
      </c>
      <c r="G131" s="24">
        <v>45517</v>
      </c>
      <c r="H131" s="25">
        <v>45517</v>
      </c>
    </row>
    <row r="132" spans="1:8" x14ac:dyDescent="0.25">
      <c r="A132" s="12" t="s">
        <v>220</v>
      </c>
      <c r="B132" s="3">
        <v>45429</v>
      </c>
      <c r="C132" s="2" t="s">
        <v>221</v>
      </c>
      <c r="D132" s="2" t="s">
        <v>41</v>
      </c>
      <c r="E132" s="2" t="s">
        <v>44</v>
      </c>
      <c r="F132" s="2">
        <v>9</v>
      </c>
      <c r="G132" s="24">
        <v>1284</v>
      </c>
      <c r="H132" s="25">
        <v>11556</v>
      </c>
    </row>
    <row r="133" spans="1:8" x14ac:dyDescent="0.25">
      <c r="A133" s="12" t="s">
        <v>222</v>
      </c>
      <c r="B133" s="3">
        <v>45494</v>
      </c>
      <c r="C133" s="2" t="s">
        <v>23</v>
      </c>
      <c r="D133" s="2" t="s">
        <v>41</v>
      </c>
      <c r="E133" s="2" t="s">
        <v>19</v>
      </c>
      <c r="F133" s="2">
        <v>9</v>
      </c>
      <c r="G133" s="24">
        <v>28251</v>
      </c>
      <c r="H133" s="25">
        <v>254259</v>
      </c>
    </row>
    <row r="134" spans="1:8" x14ac:dyDescent="0.25">
      <c r="A134" s="12" t="s">
        <v>223</v>
      </c>
      <c r="B134" s="3">
        <v>45227</v>
      </c>
      <c r="C134" s="2" t="s">
        <v>123</v>
      </c>
      <c r="D134" s="2" t="s">
        <v>27</v>
      </c>
      <c r="E134" s="2" t="s">
        <v>15</v>
      </c>
      <c r="F134" s="2">
        <v>4</v>
      </c>
      <c r="G134" s="24">
        <v>41364</v>
      </c>
      <c r="H134" s="25">
        <v>165456</v>
      </c>
    </row>
    <row r="135" spans="1:8" x14ac:dyDescent="0.25">
      <c r="A135" s="12" t="s">
        <v>224</v>
      </c>
      <c r="B135" s="3">
        <v>45542</v>
      </c>
      <c r="C135" s="2" t="s">
        <v>225</v>
      </c>
      <c r="D135" s="2" t="s">
        <v>41</v>
      </c>
      <c r="E135" s="2" t="s">
        <v>44</v>
      </c>
      <c r="F135" s="2">
        <v>9</v>
      </c>
      <c r="G135" s="24">
        <v>40828</v>
      </c>
      <c r="H135" s="25">
        <v>367452</v>
      </c>
    </row>
    <row r="136" spans="1:8" x14ac:dyDescent="0.25">
      <c r="A136" s="12" t="s">
        <v>226</v>
      </c>
      <c r="B136" s="3">
        <v>45375</v>
      </c>
      <c r="C136" s="2" t="s">
        <v>197</v>
      </c>
      <c r="D136" s="2" t="s">
        <v>18</v>
      </c>
      <c r="E136" s="2" t="s">
        <v>15</v>
      </c>
      <c r="F136" s="2">
        <v>3</v>
      </c>
      <c r="G136" s="24">
        <v>13033</v>
      </c>
      <c r="H136" s="25">
        <v>39099</v>
      </c>
    </row>
    <row r="137" spans="1:8" x14ac:dyDescent="0.25">
      <c r="A137" s="12" t="s">
        <v>227</v>
      </c>
      <c r="B137" s="3">
        <v>45541</v>
      </c>
      <c r="C137" s="2" t="s">
        <v>58</v>
      </c>
      <c r="D137" s="2" t="s">
        <v>14</v>
      </c>
      <c r="E137" s="2" t="s">
        <v>15</v>
      </c>
      <c r="F137" s="2">
        <v>7</v>
      </c>
      <c r="G137" s="24">
        <v>40611</v>
      </c>
      <c r="H137" s="25">
        <v>284277</v>
      </c>
    </row>
    <row r="138" spans="1:8" x14ac:dyDescent="0.25">
      <c r="A138" s="12" t="s">
        <v>228</v>
      </c>
      <c r="B138" s="3">
        <v>45127</v>
      </c>
      <c r="C138" s="2" t="s">
        <v>229</v>
      </c>
      <c r="D138" s="2" t="s">
        <v>10</v>
      </c>
      <c r="E138" s="2" t="s">
        <v>19</v>
      </c>
      <c r="F138" s="2">
        <v>6</v>
      </c>
      <c r="G138" s="24">
        <v>40474</v>
      </c>
      <c r="H138" s="25">
        <v>242844</v>
      </c>
    </row>
    <row r="139" spans="1:8" x14ac:dyDescent="0.25">
      <c r="A139" s="12" t="s">
        <v>230</v>
      </c>
      <c r="B139" s="3">
        <v>45006</v>
      </c>
      <c r="C139" s="2" t="s">
        <v>36</v>
      </c>
      <c r="D139" s="2" t="s">
        <v>41</v>
      </c>
      <c r="E139" s="2" t="s">
        <v>19</v>
      </c>
      <c r="F139" s="2">
        <v>8</v>
      </c>
      <c r="G139" s="24">
        <v>6301</v>
      </c>
      <c r="H139" s="25">
        <v>50408</v>
      </c>
    </row>
    <row r="140" spans="1:8" x14ac:dyDescent="0.25">
      <c r="A140" s="12" t="s">
        <v>231</v>
      </c>
      <c r="B140" s="3">
        <v>45534</v>
      </c>
      <c r="C140" s="2" t="s">
        <v>36</v>
      </c>
      <c r="D140" s="2" t="s">
        <v>14</v>
      </c>
      <c r="E140" s="2" t="s">
        <v>15</v>
      </c>
      <c r="F140" s="2">
        <v>9</v>
      </c>
      <c r="G140" s="24">
        <v>19690</v>
      </c>
      <c r="H140" s="25">
        <v>177210</v>
      </c>
    </row>
    <row r="141" spans="1:8" x14ac:dyDescent="0.25">
      <c r="A141" s="12" t="s">
        <v>232</v>
      </c>
      <c r="B141" s="3">
        <v>45383</v>
      </c>
      <c r="C141" s="2" t="s">
        <v>233</v>
      </c>
      <c r="D141" s="2" t="s">
        <v>14</v>
      </c>
      <c r="E141" s="2" t="s">
        <v>15</v>
      </c>
      <c r="F141" s="2">
        <v>5</v>
      </c>
      <c r="G141" s="24">
        <v>39254</v>
      </c>
      <c r="H141" s="25">
        <v>196270</v>
      </c>
    </row>
    <row r="142" spans="1:8" x14ac:dyDescent="0.25">
      <c r="A142" s="12" t="s">
        <v>234</v>
      </c>
      <c r="B142" s="3">
        <v>45018</v>
      </c>
      <c r="C142" s="2" t="s">
        <v>32</v>
      </c>
      <c r="D142" s="2" t="s">
        <v>41</v>
      </c>
      <c r="E142" s="2" t="s">
        <v>44</v>
      </c>
      <c r="F142" s="2">
        <v>1</v>
      </c>
      <c r="G142" s="24">
        <v>30092</v>
      </c>
      <c r="H142" s="25">
        <v>30092</v>
      </c>
    </row>
    <row r="143" spans="1:8" x14ac:dyDescent="0.25">
      <c r="A143" s="12" t="s">
        <v>235</v>
      </c>
      <c r="B143" s="3">
        <v>45357</v>
      </c>
      <c r="C143" s="2" t="s">
        <v>123</v>
      </c>
      <c r="D143" s="2" t="s">
        <v>14</v>
      </c>
      <c r="E143" s="2" t="s">
        <v>11</v>
      </c>
      <c r="F143" s="2">
        <v>3</v>
      </c>
      <c r="G143" s="24">
        <v>11147</v>
      </c>
      <c r="H143" s="25">
        <v>33441</v>
      </c>
    </row>
    <row r="144" spans="1:8" x14ac:dyDescent="0.25">
      <c r="A144" s="12" t="s">
        <v>236</v>
      </c>
      <c r="B144" s="3">
        <v>45267</v>
      </c>
      <c r="C144" s="2" t="s">
        <v>76</v>
      </c>
      <c r="D144" s="2" t="s">
        <v>24</v>
      </c>
      <c r="E144" s="2" t="s">
        <v>15</v>
      </c>
      <c r="F144" s="2">
        <v>8</v>
      </c>
      <c r="G144" s="24">
        <v>9216</v>
      </c>
      <c r="H144" s="25">
        <v>73728</v>
      </c>
    </row>
    <row r="145" spans="1:8" x14ac:dyDescent="0.25">
      <c r="A145" s="12" t="s">
        <v>237</v>
      </c>
      <c r="B145" s="3">
        <v>45356</v>
      </c>
      <c r="C145" s="2" t="s">
        <v>238</v>
      </c>
      <c r="D145" s="2" t="s">
        <v>10</v>
      </c>
      <c r="E145" s="2" t="s">
        <v>11</v>
      </c>
      <c r="F145" s="2">
        <v>6</v>
      </c>
      <c r="G145" s="24">
        <v>23855</v>
      </c>
      <c r="H145" s="25">
        <v>143130</v>
      </c>
    </row>
    <row r="146" spans="1:8" x14ac:dyDescent="0.25">
      <c r="A146" s="12" t="s">
        <v>239</v>
      </c>
      <c r="B146" s="3">
        <v>45161</v>
      </c>
      <c r="C146" s="2" t="s">
        <v>240</v>
      </c>
      <c r="D146" s="2" t="s">
        <v>27</v>
      </c>
      <c r="E146" s="2" t="s">
        <v>44</v>
      </c>
      <c r="F146" s="2">
        <v>8</v>
      </c>
      <c r="G146" s="24">
        <v>22509</v>
      </c>
      <c r="H146" s="25">
        <v>180072</v>
      </c>
    </row>
    <row r="147" spans="1:8" x14ac:dyDescent="0.25">
      <c r="A147" s="12" t="s">
        <v>241</v>
      </c>
      <c r="B147" s="3">
        <v>44996</v>
      </c>
      <c r="C147" s="2" t="s">
        <v>145</v>
      </c>
      <c r="D147" s="2" t="s">
        <v>27</v>
      </c>
      <c r="E147" s="2" t="s">
        <v>11</v>
      </c>
      <c r="F147" s="2">
        <v>9</v>
      </c>
      <c r="G147" s="24">
        <v>24876</v>
      </c>
      <c r="H147" s="25">
        <v>223884</v>
      </c>
    </row>
    <row r="148" spans="1:8" x14ac:dyDescent="0.25">
      <c r="A148" s="12" t="s">
        <v>242</v>
      </c>
      <c r="B148" s="3">
        <v>45437</v>
      </c>
      <c r="C148" s="2" t="s">
        <v>43</v>
      </c>
      <c r="D148" s="2" t="s">
        <v>14</v>
      </c>
      <c r="E148" s="2" t="s">
        <v>19</v>
      </c>
      <c r="F148" s="2">
        <v>4</v>
      </c>
      <c r="G148" s="24">
        <v>45591</v>
      </c>
      <c r="H148" s="25">
        <v>182364</v>
      </c>
    </row>
    <row r="149" spans="1:8" x14ac:dyDescent="0.25">
      <c r="A149" s="12" t="s">
        <v>243</v>
      </c>
      <c r="B149" s="3">
        <v>45129</v>
      </c>
      <c r="C149" s="2" t="s">
        <v>52</v>
      </c>
      <c r="D149" s="2" t="s">
        <v>14</v>
      </c>
      <c r="E149" s="2" t="s">
        <v>15</v>
      </c>
      <c r="F149" s="2">
        <v>1</v>
      </c>
      <c r="G149" s="24">
        <v>5280</v>
      </c>
      <c r="H149" s="25">
        <v>5280</v>
      </c>
    </row>
    <row r="150" spans="1:8" x14ac:dyDescent="0.25">
      <c r="A150" s="12" t="s">
        <v>244</v>
      </c>
      <c r="B150" s="3">
        <v>45290</v>
      </c>
      <c r="C150" s="2" t="s">
        <v>184</v>
      </c>
      <c r="D150" s="2" t="s">
        <v>18</v>
      </c>
      <c r="E150" s="2" t="s">
        <v>19</v>
      </c>
      <c r="F150" s="2">
        <v>1</v>
      </c>
      <c r="G150" s="24">
        <v>2868</v>
      </c>
      <c r="H150" s="25">
        <v>2868</v>
      </c>
    </row>
    <row r="151" spans="1:8" x14ac:dyDescent="0.25">
      <c r="A151" s="12" t="s">
        <v>245</v>
      </c>
      <c r="B151" s="3">
        <v>45647</v>
      </c>
      <c r="C151" s="2" t="s">
        <v>205</v>
      </c>
      <c r="D151" s="2" t="s">
        <v>41</v>
      </c>
      <c r="E151" s="2" t="s">
        <v>44</v>
      </c>
      <c r="F151" s="2">
        <v>4</v>
      </c>
      <c r="G151" s="24">
        <v>12539</v>
      </c>
      <c r="H151" s="25">
        <v>50156</v>
      </c>
    </row>
    <row r="152" spans="1:8" x14ac:dyDescent="0.25">
      <c r="A152" s="12" t="s">
        <v>246</v>
      </c>
      <c r="B152" s="3">
        <v>45461</v>
      </c>
      <c r="C152" s="2" t="s">
        <v>229</v>
      </c>
      <c r="D152" s="2" t="s">
        <v>24</v>
      </c>
      <c r="E152" s="2" t="s">
        <v>11</v>
      </c>
      <c r="F152" s="2">
        <v>7</v>
      </c>
      <c r="G152" s="24">
        <v>7155</v>
      </c>
      <c r="H152" s="25">
        <v>50085</v>
      </c>
    </row>
    <row r="153" spans="1:8" x14ac:dyDescent="0.25">
      <c r="A153" s="12" t="s">
        <v>247</v>
      </c>
      <c r="B153" s="3">
        <v>45511</v>
      </c>
      <c r="C153" s="2" t="s">
        <v>248</v>
      </c>
      <c r="D153" s="2" t="s">
        <v>10</v>
      </c>
      <c r="E153" s="2" t="s">
        <v>19</v>
      </c>
      <c r="F153" s="2">
        <v>2</v>
      </c>
      <c r="G153" s="24">
        <v>41441</v>
      </c>
      <c r="H153" s="25">
        <v>82882</v>
      </c>
    </row>
    <row r="154" spans="1:8" x14ac:dyDescent="0.25">
      <c r="A154" s="12" t="s">
        <v>249</v>
      </c>
      <c r="B154" s="3">
        <v>45112</v>
      </c>
      <c r="C154" s="2" t="s">
        <v>68</v>
      </c>
      <c r="D154" s="2" t="s">
        <v>18</v>
      </c>
      <c r="E154" s="2" t="s">
        <v>15</v>
      </c>
      <c r="F154" s="2">
        <v>3</v>
      </c>
      <c r="G154" s="24">
        <v>4995</v>
      </c>
      <c r="H154" s="25">
        <v>14985</v>
      </c>
    </row>
    <row r="155" spans="1:8" x14ac:dyDescent="0.25">
      <c r="A155" s="12" t="s">
        <v>250</v>
      </c>
      <c r="B155" s="3">
        <v>45192</v>
      </c>
      <c r="C155" s="2" t="s">
        <v>251</v>
      </c>
      <c r="D155" s="2" t="s">
        <v>27</v>
      </c>
      <c r="E155" s="2" t="s">
        <v>44</v>
      </c>
      <c r="F155" s="2">
        <v>1</v>
      </c>
      <c r="G155" s="24">
        <v>11393</v>
      </c>
      <c r="H155" s="25">
        <v>11393</v>
      </c>
    </row>
    <row r="156" spans="1:8" x14ac:dyDescent="0.25">
      <c r="A156" s="12" t="s">
        <v>252</v>
      </c>
      <c r="B156" s="3">
        <v>45016</v>
      </c>
      <c r="C156" s="2" t="s">
        <v>70</v>
      </c>
      <c r="D156" s="2" t="s">
        <v>18</v>
      </c>
      <c r="E156" s="2" t="s">
        <v>11</v>
      </c>
      <c r="F156" s="2">
        <v>5</v>
      </c>
      <c r="G156" s="24">
        <v>26047</v>
      </c>
      <c r="H156" s="25">
        <v>130235</v>
      </c>
    </row>
    <row r="157" spans="1:8" x14ac:dyDescent="0.25">
      <c r="A157" s="12" t="s">
        <v>253</v>
      </c>
      <c r="B157" s="3">
        <v>45492</v>
      </c>
      <c r="C157" s="2" t="s">
        <v>83</v>
      </c>
      <c r="D157" s="2" t="s">
        <v>10</v>
      </c>
      <c r="E157" s="2" t="s">
        <v>19</v>
      </c>
      <c r="F157" s="2">
        <v>1</v>
      </c>
      <c r="G157" s="24">
        <v>22886</v>
      </c>
      <c r="H157" s="25">
        <v>22886</v>
      </c>
    </row>
    <row r="158" spans="1:8" x14ac:dyDescent="0.25">
      <c r="A158" s="12" t="s">
        <v>254</v>
      </c>
      <c r="B158" s="3">
        <v>45195</v>
      </c>
      <c r="C158" s="2" t="s">
        <v>255</v>
      </c>
      <c r="D158" s="2" t="s">
        <v>41</v>
      </c>
      <c r="E158" s="2" t="s">
        <v>15</v>
      </c>
      <c r="F158" s="2">
        <v>8</v>
      </c>
      <c r="G158" s="24">
        <v>13903</v>
      </c>
      <c r="H158" s="25">
        <v>111224</v>
      </c>
    </row>
    <row r="159" spans="1:8" x14ac:dyDescent="0.25">
      <c r="A159" s="12" t="s">
        <v>256</v>
      </c>
      <c r="B159" s="3">
        <v>45168</v>
      </c>
      <c r="C159" s="2" t="s">
        <v>229</v>
      </c>
      <c r="D159" s="2" t="s">
        <v>24</v>
      </c>
      <c r="E159" s="2" t="s">
        <v>19</v>
      </c>
      <c r="F159" s="2">
        <v>1</v>
      </c>
      <c r="G159" s="24">
        <v>32597</v>
      </c>
      <c r="H159" s="25">
        <v>32597</v>
      </c>
    </row>
    <row r="160" spans="1:8" x14ac:dyDescent="0.25">
      <c r="A160" s="12" t="s">
        <v>257</v>
      </c>
      <c r="B160" s="3">
        <v>45298</v>
      </c>
      <c r="C160" s="2" t="s">
        <v>58</v>
      </c>
      <c r="D160" s="2" t="s">
        <v>27</v>
      </c>
      <c r="E160" s="2" t="s">
        <v>11</v>
      </c>
      <c r="F160" s="2">
        <v>1</v>
      </c>
      <c r="G160" s="24">
        <v>13621</v>
      </c>
      <c r="H160" s="25">
        <v>13621</v>
      </c>
    </row>
    <row r="161" spans="1:8" x14ac:dyDescent="0.25">
      <c r="A161" s="12" t="s">
        <v>258</v>
      </c>
      <c r="B161" s="3">
        <v>45566</v>
      </c>
      <c r="C161" s="2" t="s">
        <v>259</v>
      </c>
      <c r="D161" s="2" t="s">
        <v>18</v>
      </c>
      <c r="E161" s="2" t="s">
        <v>11</v>
      </c>
      <c r="F161" s="2">
        <v>2</v>
      </c>
      <c r="G161" s="24">
        <v>11466</v>
      </c>
      <c r="H161" s="25">
        <v>22932</v>
      </c>
    </row>
    <row r="162" spans="1:8" x14ac:dyDescent="0.25">
      <c r="A162" s="12" t="s">
        <v>260</v>
      </c>
      <c r="B162" s="3">
        <v>45612</v>
      </c>
      <c r="C162" s="2" t="s">
        <v>80</v>
      </c>
      <c r="D162" s="2" t="s">
        <v>27</v>
      </c>
      <c r="E162" s="2" t="s">
        <v>11</v>
      </c>
      <c r="F162" s="2">
        <v>2</v>
      </c>
      <c r="G162" s="24">
        <v>34121</v>
      </c>
      <c r="H162" s="25">
        <v>68242</v>
      </c>
    </row>
    <row r="163" spans="1:8" x14ac:dyDescent="0.25">
      <c r="A163" s="12" t="s">
        <v>261</v>
      </c>
      <c r="B163" s="3">
        <v>45472</v>
      </c>
      <c r="C163" s="2" t="s">
        <v>262</v>
      </c>
      <c r="D163" s="2" t="s">
        <v>18</v>
      </c>
      <c r="E163" s="2" t="s">
        <v>19</v>
      </c>
      <c r="F163" s="2">
        <v>6</v>
      </c>
      <c r="G163" s="24">
        <v>28812</v>
      </c>
      <c r="H163" s="25">
        <v>172872</v>
      </c>
    </row>
    <row r="164" spans="1:8" x14ac:dyDescent="0.25">
      <c r="A164" s="12" t="s">
        <v>263</v>
      </c>
      <c r="B164" s="3">
        <v>45083</v>
      </c>
      <c r="C164" s="2" t="s">
        <v>83</v>
      </c>
      <c r="D164" s="2" t="s">
        <v>24</v>
      </c>
      <c r="E164" s="2" t="s">
        <v>15</v>
      </c>
      <c r="F164" s="2">
        <v>7</v>
      </c>
      <c r="G164" s="24">
        <v>23177</v>
      </c>
      <c r="H164" s="25">
        <v>162239</v>
      </c>
    </row>
    <row r="165" spans="1:8" x14ac:dyDescent="0.25">
      <c r="A165" s="12" t="s">
        <v>264</v>
      </c>
      <c r="B165" s="3">
        <v>45476</v>
      </c>
      <c r="C165" s="2" t="s">
        <v>76</v>
      </c>
      <c r="D165" s="2" t="s">
        <v>59</v>
      </c>
      <c r="E165" s="2" t="s">
        <v>44</v>
      </c>
      <c r="F165" s="2">
        <v>5</v>
      </c>
      <c r="G165" s="24">
        <v>31789</v>
      </c>
      <c r="H165" s="25">
        <v>158945</v>
      </c>
    </row>
    <row r="166" spans="1:8" x14ac:dyDescent="0.25">
      <c r="A166" s="12" t="s">
        <v>265</v>
      </c>
      <c r="B166" s="3">
        <v>45128</v>
      </c>
      <c r="C166" s="2" t="s">
        <v>266</v>
      </c>
      <c r="D166" s="2" t="s">
        <v>59</v>
      </c>
      <c r="E166" s="2" t="s">
        <v>11</v>
      </c>
      <c r="F166" s="2">
        <v>1</v>
      </c>
      <c r="G166" s="24">
        <v>31524</v>
      </c>
      <c r="H166" s="25">
        <v>31524</v>
      </c>
    </row>
    <row r="167" spans="1:8" x14ac:dyDescent="0.25">
      <c r="A167" s="12" t="s">
        <v>267</v>
      </c>
      <c r="B167" s="3">
        <v>44937</v>
      </c>
      <c r="C167" s="2" t="s">
        <v>268</v>
      </c>
      <c r="D167" s="2" t="s">
        <v>18</v>
      </c>
      <c r="E167" s="2" t="s">
        <v>11</v>
      </c>
      <c r="F167" s="2">
        <v>1</v>
      </c>
      <c r="G167" s="24">
        <v>43175</v>
      </c>
      <c r="H167" s="25">
        <v>43175</v>
      </c>
    </row>
    <row r="168" spans="1:8" x14ac:dyDescent="0.25">
      <c r="A168" s="12" t="s">
        <v>269</v>
      </c>
      <c r="B168" s="3">
        <v>45274</v>
      </c>
      <c r="C168" s="2" t="s">
        <v>270</v>
      </c>
      <c r="D168" s="2" t="s">
        <v>41</v>
      </c>
      <c r="E168" s="2" t="s">
        <v>44</v>
      </c>
      <c r="F168" s="2">
        <v>3</v>
      </c>
      <c r="G168" s="24">
        <v>5277</v>
      </c>
      <c r="H168" s="25">
        <v>15831</v>
      </c>
    </row>
    <row r="169" spans="1:8" x14ac:dyDescent="0.25">
      <c r="A169" s="12" t="s">
        <v>271</v>
      </c>
      <c r="B169" s="3">
        <v>45538</v>
      </c>
      <c r="C169" s="2" t="s">
        <v>272</v>
      </c>
      <c r="D169" s="2" t="s">
        <v>24</v>
      </c>
      <c r="E169" s="2" t="s">
        <v>15</v>
      </c>
      <c r="F169" s="2">
        <v>2</v>
      </c>
      <c r="G169" s="24">
        <v>30249</v>
      </c>
      <c r="H169" s="25">
        <v>60498</v>
      </c>
    </row>
    <row r="170" spans="1:8" x14ac:dyDescent="0.25">
      <c r="A170" s="12" t="s">
        <v>273</v>
      </c>
      <c r="B170" s="3">
        <v>45026</v>
      </c>
      <c r="C170" s="2" t="s">
        <v>88</v>
      </c>
      <c r="D170" s="2" t="s">
        <v>41</v>
      </c>
      <c r="E170" s="2" t="s">
        <v>19</v>
      </c>
      <c r="F170" s="2">
        <v>5</v>
      </c>
      <c r="G170" s="24">
        <v>15838</v>
      </c>
      <c r="H170" s="25">
        <v>79190</v>
      </c>
    </row>
    <row r="171" spans="1:8" x14ac:dyDescent="0.25">
      <c r="A171" s="12" t="s">
        <v>274</v>
      </c>
      <c r="B171" s="3">
        <v>45436</v>
      </c>
      <c r="C171" s="2" t="s">
        <v>275</v>
      </c>
      <c r="D171" s="2" t="s">
        <v>27</v>
      </c>
      <c r="E171" s="2" t="s">
        <v>15</v>
      </c>
      <c r="F171" s="2">
        <v>6</v>
      </c>
      <c r="G171" s="24">
        <v>2991</v>
      </c>
      <c r="H171" s="25">
        <v>17946</v>
      </c>
    </row>
    <row r="172" spans="1:8" x14ac:dyDescent="0.25">
      <c r="A172" s="12" t="s">
        <v>276</v>
      </c>
      <c r="B172" s="3">
        <v>45259</v>
      </c>
      <c r="C172" s="2" t="s">
        <v>178</v>
      </c>
      <c r="D172" s="2" t="s">
        <v>14</v>
      </c>
      <c r="E172" s="2" t="s">
        <v>19</v>
      </c>
      <c r="F172" s="2">
        <v>7</v>
      </c>
      <c r="G172" s="24">
        <v>27736</v>
      </c>
      <c r="H172" s="25">
        <v>194152</v>
      </c>
    </row>
    <row r="173" spans="1:8" x14ac:dyDescent="0.25">
      <c r="A173" s="12" t="s">
        <v>277</v>
      </c>
      <c r="B173" s="3">
        <v>45228</v>
      </c>
      <c r="C173" s="2" t="s">
        <v>155</v>
      </c>
      <c r="D173" s="2" t="s">
        <v>18</v>
      </c>
      <c r="E173" s="2" t="s">
        <v>19</v>
      </c>
      <c r="F173" s="2">
        <v>4</v>
      </c>
      <c r="G173" s="24">
        <v>48596</v>
      </c>
      <c r="H173" s="25">
        <v>194384</v>
      </c>
    </row>
    <row r="174" spans="1:8" x14ac:dyDescent="0.25">
      <c r="A174" s="12" t="s">
        <v>278</v>
      </c>
      <c r="B174" s="3">
        <v>44982</v>
      </c>
      <c r="C174" s="2" t="s">
        <v>279</v>
      </c>
      <c r="D174" s="2" t="s">
        <v>18</v>
      </c>
      <c r="E174" s="2" t="s">
        <v>15</v>
      </c>
      <c r="F174" s="2">
        <v>7</v>
      </c>
      <c r="G174" s="24">
        <v>15099</v>
      </c>
      <c r="H174" s="25">
        <v>105693</v>
      </c>
    </row>
    <row r="175" spans="1:8" x14ac:dyDescent="0.25">
      <c r="A175" s="12" t="s">
        <v>280</v>
      </c>
      <c r="B175" s="3">
        <v>45067</v>
      </c>
      <c r="C175" s="2" t="s">
        <v>281</v>
      </c>
      <c r="D175" s="2" t="s">
        <v>41</v>
      </c>
      <c r="E175" s="2" t="s">
        <v>44</v>
      </c>
      <c r="F175" s="2">
        <v>8</v>
      </c>
      <c r="G175" s="24">
        <v>20008</v>
      </c>
      <c r="H175" s="25">
        <v>160064</v>
      </c>
    </row>
    <row r="176" spans="1:8" x14ac:dyDescent="0.25">
      <c r="A176" s="12" t="s">
        <v>282</v>
      </c>
      <c r="B176" s="3">
        <v>45451</v>
      </c>
      <c r="C176" s="2" t="s">
        <v>143</v>
      </c>
      <c r="D176" s="2" t="s">
        <v>14</v>
      </c>
      <c r="E176" s="2" t="s">
        <v>15</v>
      </c>
      <c r="F176" s="2">
        <v>1</v>
      </c>
      <c r="G176" s="24">
        <v>3551</v>
      </c>
      <c r="H176" s="25">
        <v>3551</v>
      </c>
    </row>
    <row r="177" spans="1:8" x14ac:dyDescent="0.25">
      <c r="A177" s="12" t="s">
        <v>283</v>
      </c>
      <c r="B177" s="3">
        <v>45459</v>
      </c>
      <c r="C177" s="2" t="s">
        <v>284</v>
      </c>
      <c r="D177" s="2" t="s">
        <v>24</v>
      </c>
      <c r="E177" s="2" t="s">
        <v>11</v>
      </c>
      <c r="F177" s="2">
        <v>6</v>
      </c>
      <c r="G177" s="24">
        <v>49247</v>
      </c>
      <c r="H177" s="25">
        <v>295482</v>
      </c>
    </row>
    <row r="178" spans="1:8" x14ac:dyDescent="0.25">
      <c r="A178" s="12" t="s">
        <v>285</v>
      </c>
      <c r="B178" s="3">
        <v>45609</v>
      </c>
      <c r="C178" s="2" t="s">
        <v>72</v>
      </c>
      <c r="D178" s="2" t="s">
        <v>41</v>
      </c>
      <c r="E178" s="2" t="s">
        <v>15</v>
      </c>
      <c r="F178" s="2">
        <v>8</v>
      </c>
      <c r="G178" s="24">
        <v>49656</v>
      </c>
      <c r="H178" s="25">
        <v>397248</v>
      </c>
    </row>
    <row r="179" spans="1:8" x14ac:dyDescent="0.25">
      <c r="A179" s="12" t="s">
        <v>286</v>
      </c>
      <c r="B179" s="3">
        <v>45070</v>
      </c>
      <c r="C179" s="2" t="s">
        <v>70</v>
      </c>
      <c r="D179" s="2" t="s">
        <v>10</v>
      </c>
      <c r="E179" s="2" t="s">
        <v>19</v>
      </c>
      <c r="F179" s="2">
        <v>5</v>
      </c>
      <c r="G179" s="24">
        <v>22106</v>
      </c>
      <c r="H179" s="25">
        <v>110530</v>
      </c>
    </row>
    <row r="180" spans="1:8" x14ac:dyDescent="0.25">
      <c r="A180" s="12" t="s">
        <v>287</v>
      </c>
      <c r="B180" s="3">
        <v>45134</v>
      </c>
      <c r="C180" s="2" t="s">
        <v>9</v>
      </c>
      <c r="D180" s="2" t="s">
        <v>27</v>
      </c>
      <c r="E180" s="2" t="s">
        <v>19</v>
      </c>
      <c r="F180" s="2">
        <v>4</v>
      </c>
      <c r="G180" s="24">
        <v>22199</v>
      </c>
      <c r="H180" s="25">
        <v>88796</v>
      </c>
    </row>
    <row r="181" spans="1:8" x14ac:dyDescent="0.25">
      <c r="A181" s="12" t="s">
        <v>288</v>
      </c>
      <c r="B181" s="3">
        <v>44982</v>
      </c>
      <c r="C181" s="2" t="s">
        <v>26</v>
      </c>
      <c r="D181" s="2" t="s">
        <v>41</v>
      </c>
      <c r="E181" s="2" t="s">
        <v>19</v>
      </c>
      <c r="F181" s="2">
        <v>2</v>
      </c>
      <c r="G181" s="24">
        <v>1376</v>
      </c>
      <c r="H181" s="25">
        <v>2752</v>
      </c>
    </row>
    <row r="182" spans="1:8" x14ac:dyDescent="0.25">
      <c r="A182" s="12" t="s">
        <v>289</v>
      </c>
      <c r="B182" s="3">
        <v>45240</v>
      </c>
      <c r="C182" s="2" t="s">
        <v>262</v>
      </c>
      <c r="D182" s="2" t="s">
        <v>18</v>
      </c>
      <c r="E182" s="2" t="s">
        <v>44</v>
      </c>
      <c r="F182" s="2">
        <v>6</v>
      </c>
      <c r="G182" s="24">
        <v>32593</v>
      </c>
      <c r="H182" s="25">
        <v>195558</v>
      </c>
    </row>
    <row r="183" spans="1:8" x14ac:dyDescent="0.25">
      <c r="A183" s="12" t="s">
        <v>290</v>
      </c>
      <c r="B183" s="3">
        <v>45453</v>
      </c>
      <c r="C183" s="2" t="s">
        <v>13</v>
      </c>
      <c r="D183" s="2" t="s">
        <v>10</v>
      </c>
      <c r="E183" s="2" t="s">
        <v>44</v>
      </c>
      <c r="F183" s="2">
        <v>6</v>
      </c>
      <c r="G183" s="24">
        <v>4642</v>
      </c>
      <c r="H183" s="25">
        <v>27852</v>
      </c>
    </row>
    <row r="184" spans="1:8" x14ac:dyDescent="0.25">
      <c r="A184" s="12" t="s">
        <v>291</v>
      </c>
      <c r="B184" s="3">
        <v>44999</v>
      </c>
      <c r="C184" s="2" t="s">
        <v>192</v>
      </c>
      <c r="D184" s="2" t="s">
        <v>18</v>
      </c>
      <c r="E184" s="2" t="s">
        <v>11</v>
      </c>
      <c r="F184" s="2">
        <v>1</v>
      </c>
      <c r="G184" s="24">
        <v>15702</v>
      </c>
      <c r="H184" s="25">
        <v>15702</v>
      </c>
    </row>
    <row r="185" spans="1:8" x14ac:dyDescent="0.25">
      <c r="A185" s="12" t="s">
        <v>292</v>
      </c>
      <c r="B185" s="3">
        <v>45200</v>
      </c>
      <c r="C185" s="2" t="s">
        <v>110</v>
      </c>
      <c r="D185" s="2" t="s">
        <v>59</v>
      </c>
      <c r="E185" s="2" t="s">
        <v>15</v>
      </c>
      <c r="F185" s="2">
        <v>9</v>
      </c>
      <c r="G185" s="24">
        <v>40234</v>
      </c>
      <c r="H185" s="25">
        <v>362106</v>
      </c>
    </row>
    <row r="186" spans="1:8" x14ac:dyDescent="0.25">
      <c r="A186" s="12" t="s">
        <v>293</v>
      </c>
      <c r="B186" s="3">
        <v>45488</v>
      </c>
      <c r="C186" s="2" t="s">
        <v>46</v>
      </c>
      <c r="D186" s="2" t="s">
        <v>14</v>
      </c>
      <c r="E186" s="2" t="s">
        <v>19</v>
      </c>
      <c r="F186" s="2">
        <v>6</v>
      </c>
      <c r="G186" s="24">
        <v>7579</v>
      </c>
      <c r="H186" s="25">
        <v>45474</v>
      </c>
    </row>
    <row r="187" spans="1:8" x14ac:dyDescent="0.25">
      <c r="A187" s="12" t="s">
        <v>294</v>
      </c>
      <c r="B187" s="3">
        <v>45067</v>
      </c>
      <c r="C187" s="2" t="s">
        <v>221</v>
      </c>
      <c r="D187" s="2" t="s">
        <v>18</v>
      </c>
      <c r="E187" s="2" t="s">
        <v>11</v>
      </c>
      <c r="F187" s="2">
        <v>3</v>
      </c>
      <c r="G187" s="24">
        <v>8487</v>
      </c>
      <c r="H187" s="25">
        <v>25461</v>
      </c>
    </row>
    <row r="188" spans="1:8" x14ac:dyDescent="0.25">
      <c r="A188" s="12" t="s">
        <v>295</v>
      </c>
      <c r="B188" s="3">
        <v>45401</v>
      </c>
      <c r="C188" s="2" t="s">
        <v>197</v>
      </c>
      <c r="D188" s="2" t="s">
        <v>14</v>
      </c>
      <c r="E188" s="2" t="s">
        <v>44</v>
      </c>
      <c r="F188" s="2">
        <v>4</v>
      </c>
      <c r="G188" s="24">
        <v>40067</v>
      </c>
      <c r="H188" s="25">
        <v>160268</v>
      </c>
    </row>
    <row r="189" spans="1:8" x14ac:dyDescent="0.25">
      <c r="A189" s="12" t="s">
        <v>296</v>
      </c>
      <c r="B189" s="3">
        <v>45067</v>
      </c>
      <c r="C189" s="2" t="s">
        <v>262</v>
      </c>
      <c r="D189" s="2" t="s">
        <v>24</v>
      </c>
      <c r="E189" s="2" t="s">
        <v>15</v>
      </c>
      <c r="F189" s="2">
        <v>4</v>
      </c>
      <c r="G189" s="24">
        <v>29440</v>
      </c>
      <c r="H189" s="25">
        <v>117760</v>
      </c>
    </row>
    <row r="190" spans="1:8" x14ac:dyDescent="0.25">
      <c r="A190" s="12" t="s">
        <v>297</v>
      </c>
      <c r="B190" s="3">
        <v>45228</v>
      </c>
      <c r="C190" s="2" t="s">
        <v>255</v>
      </c>
      <c r="D190" s="2" t="s">
        <v>10</v>
      </c>
      <c r="E190" s="2" t="s">
        <v>19</v>
      </c>
      <c r="F190" s="2">
        <v>3</v>
      </c>
      <c r="G190" s="24">
        <v>37733</v>
      </c>
      <c r="H190" s="25">
        <v>113199</v>
      </c>
    </row>
    <row r="191" spans="1:8" x14ac:dyDescent="0.25">
      <c r="A191" s="12" t="s">
        <v>298</v>
      </c>
      <c r="B191" s="3">
        <v>45144</v>
      </c>
      <c r="C191" s="2" t="s">
        <v>268</v>
      </c>
      <c r="D191" s="2" t="s">
        <v>10</v>
      </c>
      <c r="E191" s="2" t="s">
        <v>15</v>
      </c>
      <c r="F191" s="2">
        <v>3</v>
      </c>
      <c r="G191" s="24">
        <v>17519</v>
      </c>
      <c r="H191" s="25">
        <v>52557</v>
      </c>
    </row>
    <row r="192" spans="1:8" x14ac:dyDescent="0.25">
      <c r="A192" s="12" t="s">
        <v>299</v>
      </c>
      <c r="B192" s="3">
        <v>44934</v>
      </c>
      <c r="C192" s="2" t="s">
        <v>262</v>
      </c>
      <c r="D192" s="2" t="s">
        <v>59</v>
      </c>
      <c r="E192" s="2" t="s">
        <v>44</v>
      </c>
      <c r="F192" s="2">
        <v>3</v>
      </c>
      <c r="G192" s="24">
        <v>46685</v>
      </c>
      <c r="H192" s="25">
        <v>140055</v>
      </c>
    </row>
    <row r="193" spans="1:8" x14ac:dyDescent="0.25">
      <c r="A193" s="12" t="s">
        <v>300</v>
      </c>
      <c r="B193" s="3">
        <v>45510</v>
      </c>
      <c r="C193" s="2" t="s">
        <v>150</v>
      </c>
      <c r="D193" s="2" t="s">
        <v>14</v>
      </c>
      <c r="E193" s="2" t="s">
        <v>19</v>
      </c>
      <c r="F193" s="2">
        <v>4</v>
      </c>
      <c r="G193" s="24">
        <v>18577</v>
      </c>
      <c r="H193" s="25">
        <v>74308</v>
      </c>
    </row>
    <row r="194" spans="1:8" x14ac:dyDescent="0.25">
      <c r="A194" s="12" t="s">
        <v>301</v>
      </c>
      <c r="B194" s="3">
        <v>45026</v>
      </c>
      <c r="C194" s="2" t="s">
        <v>48</v>
      </c>
      <c r="D194" s="2" t="s">
        <v>18</v>
      </c>
      <c r="E194" s="2" t="s">
        <v>19</v>
      </c>
      <c r="F194" s="2">
        <v>7</v>
      </c>
      <c r="G194" s="24">
        <v>26758</v>
      </c>
      <c r="H194" s="25">
        <v>187306</v>
      </c>
    </row>
    <row r="195" spans="1:8" x14ac:dyDescent="0.25">
      <c r="A195" s="12" t="s">
        <v>302</v>
      </c>
      <c r="B195" s="3">
        <v>45451</v>
      </c>
      <c r="C195" s="2" t="s">
        <v>55</v>
      </c>
      <c r="D195" s="2" t="s">
        <v>27</v>
      </c>
      <c r="E195" s="2" t="s">
        <v>44</v>
      </c>
      <c r="F195" s="2">
        <v>4</v>
      </c>
      <c r="G195" s="24">
        <v>21636</v>
      </c>
      <c r="H195" s="25">
        <v>86544</v>
      </c>
    </row>
    <row r="196" spans="1:8" x14ac:dyDescent="0.25">
      <c r="A196" s="12" t="s">
        <v>303</v>
      </c>
      <c r="B196" s="3">
        <v>44993</v>
      </c>
      <c r="C196" s="2" t="s">
        <v>255</v>
      </c>
      <c r="D196" s="2" t="s">
        <v>18</v>
      </c>
      <c r="E196" s="2" t="s">
        <v>11</v>
      </c>
      <c r="F196" s="2">
        <v>9</v>
      </c>
      <c r="G196" s="24">
        <v>8811</v>
      </c>
      <c r="H196" s="25">
        <v>79299</v>
      </c>
    </row>
    <row r="197" spans="1:8" x14ac:dyDescent="0.25">
      <c r="A197" s="12" t="s">
        <v>304</v>
      </c>
      <c r="B197" s="3">
        <v>45651</v>
      </c>
      <c r="C197" s="2" t="s">
        <v>52</v>
      </c>
      <c r="D197" s="2" t="s">
        <v>18</v>
      </c>
      <c r="E197" s="2" t="s">
        <v>19</v>
      </c>
      <c r="F197" s="2">
        <v>1</v>
      </c>
      <c r="G197" s="24">
        <v>17714</v>
      </c>
      <c r="H197" s="25">
        <v>17714</v>
      </c>
    </row>
    <row r="198" spans="1:8" x14ac:dyDescent="0.25">
      <c r="A198" s="12" t="s">
        <v>305</v>
      </c>
      <c r="B198" s="3">
        <v>45649</v>
      </c>
      <c r="C198" s="2" t="s">
        <v>23</v>
      </c>
      <c r="D198" s="2" t="s">
        <v>10</v>
      </c>
      <c r="E198" s="2" t="s">
        <v>44</v>
      </c>
      <c r="F198" s="2">
        <v>8</v>
      </c>
      <c r="G198" s="24">
        <v>14598</v>
      </c>
      <c r="H198" s="25">
        <v>116784</v>
      </c>
    </row>
    <row r="199" spans="1:8" x14ac:dyDescent="0.25">
      <c r="A199" s="12" t="s">
        <v>306</v>
      </c>
      <c r="B199" s="3">
        <v>45085</v>
      </c>
      <c r="C199" s="2" t="s">
        <v>150</v>
      </c>
      <c r="D199" s="2" t="s">
        <v>18</v>
      </c>
      <c r="E199" s="2" t="s">
        <v>44</v>
      </c>
      <c r="F199" s="2">
        <v>7</v>
      </c>
      <c r="G199" s="24">
        <v>28751</v>
      </c>
      <c r="H199" s="25">
        <v>201257</v>
      </c>
    </row>
    <row r="200" spans="1:8" x14ac:dyDescent="0.25">
      <c r="A200" s="12" t="s">
        <v>307</v>
      </c>
      <c r="B200" s="3">
        <v>45575</v>
      </c>
      <c r="C200" s="2" t="s">
        <v>308</v>
      </c>
      <c r="D200" s="2" t="s">
        <v>14</v>
      </c>
      <c r="E200" s="2" t="s">
        <v>44</v>
      </c>
      <c r="F200" s="2">
        <v>2</v>
      </c>
      <c r="G200" s="24">
        <v>38445</v>
      </c>
      <c r="H200" s="25">
        <v>76890</v>
      </c>
    </row>
    <row r="201" spans="1:8" x14ac:dyDescent="0.25">
      <c r="A201" s="17" t="s">
        <v>309</v>
      </c>
      <c r="B201" s="18">
        <v>45587</v>
      </c>
      <c r="C201" s="19" t="s">
        <v>205</v>
      </c>
      <c r="D201" s="19" t="s">
        <v>10</v>
      </c>
      <c r="E201" s="19" t="s">
        <v>15</v>
      </c>
      <c r="F201" s="19">
        <v>8</v>
      </c>
      <c r="G201" s="26">
        <v>47530</v>
      </c>
      <c r="H201" s="27">
        <v>380240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Summery</vt:lpstr>
      <vt:lpstr>sales_project_dataset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dc:creator>
  <cp:lastModifiedBy>Nitin</cp:lastModifiedBy>
  <dcterms:created xsi:type="dcterms:W3CDTF">2025-12-16T17:44:38Z</dcterms:created>
  <dcterms:modified xsi:type="dcterms:W3CDTF">2025-12-16T17:44:39Z</dcterms:modified>
</cp:coreProperties>
</file>